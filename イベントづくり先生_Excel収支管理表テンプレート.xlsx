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gekko\マイドライブ\[イベントづくり先生]\イベントづくり先生_15\"/>
    </mc:Choice>
  </mc:AlternateContent>
  <xr:revisionPtr revIDLastSave="0" documentId="13_ncr:1_{68625C9D-91A6-4FCB-BB1B-0E788961AB02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予実管理" sheetId="1" r:id="rId1"/>
    <sheet name="予算" sheetId="2" r:id="rId2"/>
    <sheet name="実績｜売上一覧" sheetId="3" r:id="rId3"/>
    <sheet name="実績｜経費一覧" sheetId="4" r:id="rId4"/>
    <sheet name="入力規制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55DG3fFKMVXnGhdM/ZcBcRDvdRIEn+OWZJACGaQbGY="/>
    </ext>
  </extLst>
</workbook>
</file>

<file path=xl/calcChain.xml><?xml version="1.0" encoding="utf-8"?>
<calcChain xmlns="http://schemas.openxmlformats.org/spreadsheetml/2006/main">
  <c r="G15" i="2" l="1"/>
  <c r="C6" i="1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4" i="2"/>
  <c r="G13" i="2"/>
  <c r="G12" i="2"/>
  <c r="G11" i="2"/>
  <c r="G10" i="2"/>
  <c r="G9" i="2"/>
  <c r="G8" i="2"/>
  <c r="G7" i="2"/>
  <c r="G6" i="2"/>
  <c r="G5" i="2"/>
  <c r="D19" i="1"/>
  <c r="C19" i="1"/>
  <c r="D18" i="1"/>
  <c r="D17" i="1"/>
  <c r="C17" i="1"/>
  <c r="D16" i="1"/>
  <c r="C16" i="1"/>
  <c r="D15" i="1"/>
  <c r="C15" i="1"/>
  <c r="D14" i="1"/>
  <c r="C14" i="1"/>
  <c r="D9" i="1"/>
  <c r="C9" i="1"/>
  <c r="D8" i="1"/>
  <c r="C8" i="1"/>
  <c r="D7" i="1"/>
  <c r="C7" i="1"/>
  <c r="D6" i="1"/>
  <c r="D5" i="1"/>
  <c r="D10" i="1" s="1"/>
  <c r="C5" i="1"/>
  <c r="F19" i="1" l="1"/>
  <c r="F9" i="1"/>
  <c r="F8" i="1"/>
  <c r="F14" i="1"/>
  <c r="C10" i="1"/>
  <c r="E10" i="1" s="1"/>
  <c r="F15" i="1"/>
  <c r="F6" i="1"/>
  <c r="F16" i="1"/>
  <c r="F7" i="1"/>
  <c r="F17" i="1"/>
  <c r="G39" i="2"/>
  <c r="G42" i="2"/>
  <c r="E19" i="1"/>
  <c r="E7" i="1"/>
  <c r="E16" i="1"/>
  <c r="D20" i="1"/>
  <c r="D23" i="1" s="1"/>
  <c r="E38" i="2"/>
  <c r="G38" i="2" s="1"/>
  <c r="C18" i="1" s="1"/>
  <c r="F18" i="1" s="1"/>
  <c r="E5" i="1"/>
  <c r="E8" i="1"/>
  <c r="E14" i="1"/>
  <c r="E17" i="1"/>
  <c r="F5" i="1"/>
  <c r="E9" i="1"/>
  <c r="E6" i="1"/>
  <c r="E15" i="1"/>
  <c r="F10" i="1" l="1"/>
  <c r="C20" i="1"/>
  <c r="C23" i="1" s="1"/>
  <c r="F23" i="1" s="1"/>
  <c r="E18" i="1"/>
  <c r="E20" i="1" l="1"/>
  <c r="F20" i="1"/>
  <c r="E23" i="1"/>
</calcChain>
</file>

<file path=xl/sharedStrings.xml><?xml version="1.0" encoding="utf-8"?>
<sst xmlns="http://schemas.openxmlformats.org/spreadsheetml/2006/main" count="266" uniqueCount="93">
  <si>
    <t>予実管理表</t>
  </si>
  <si>
    <t>売上</t>
  </si>
  <si>
    <t>No</t>
  </si>
  <si>
    <t>カテゴリ</t>
  </si>
  <si>
    <t>予算額</t>
  </si>
  <si>
    <t>実績額</t>
  </si>
  <si>
    <t>予実対比（円）</t>
  </si>
  <si>
    <t>予実対比（%）</t>
  </si>
  <si>
    <t>入場料</t>
  </si>
  <si>
    <t>スポンサー料</t>
  </si>
  <si>
    <t>出展料</t>
  </si>
  <si>
    <t>物販売上</t>
  </si>
  <si>
    <t>その他の売上</t>
  </si>
  <si>
    <t>*</t>
  </si>
  <si>
    <t>合計</t>
  </si>
  <si>
    <t>支出</t>
  </si>
  <si>
    <t>会場費</t>
  </si>
  <si>
    <t>人件費</t>
  </si>
  <si>
    <t>制作費</t>
  </si>
  <si>
    <t>広告・宣伝費</t>
  </si>
  <si>
    <t>企画・管理費</t>
  </si>
  <si>
    <t>その他の支出</t>
  </si>
  <si>
    <t>収支</t>
  </si>
  <si>
    <t>売上合計-支出合計</t>
  </si>
  <si>
    <t>イベント収支管理表【予算の部】</t>
  </si>
  <si>
    <t>詳細１</t>
  </si>
  <si>
    <t>詳細２</t>
  </si>
  <si>
    <t>単価</t>
  </si>
  <si>
    <t>数量</t>
  </si>
  <si>
    <t>金額</t>
  </si>
  <si>
    <t>チケット</t>
  </si>
  <si>
    <t>前売</t>
  </si>
  <si>
    <t>当日</t>
  </si>
  <si>
    <t>ゲスト</t>
  </si>
  <si>
    <t>ディスカウント</t>
  </si>
  <si>
    <t>協賛A</t>
  </si>
  <si>
    <t>協賛B</t>
  </si>
  <si>
    <t>ブースA</t>
  </si>
  <si>
    <t>1K×1.5Kテント</t>
  </si>
  <si>
    <t>ブースB</t>
  </si>
  <si>
    <t>1.5K×2Kテント</t>
  </si>
  <si>
    <t>ブースC</t>
  </si>
  <si>
    <t>キッチンカー</t>
  </si>
  <si>
    <t>グッズA</t>
  </si>
  <si>
    <t>グッズB</t>
  </si>
  <si>
    <t>会場レンタル代</t>
  </si>
  <si>
    <t>本番</t>
  </si>
  <si>
    <t>設営・リハーサル</t>
  </si>
  <si>
    <t>交通誘導代</t>
  </si>
  <si>
    <t>有資格警備員</t>
  </si>
  <si>
    <t>会場スタッフ代</t>
  </si>
  <si>
    <t>一般スタッフ</t>
  </si>
  <si>
    <t>出演料</t>
  </si>
  <si>
    <t>ゲストA　出演料</t>
  </si>
  <si>
    <t>機材レンタル代</t>
  </si>
  <si>
    <t>音響追加機器　一式</t>
  </si>
  <si>
    <t>楽器　一式</t>
  </si>
  <si>
    <t>什器等　一式</t>
  </si>
  <si>
    <t>消耗品代</t>
  </si>
  <si>
    <t>会場掲出物　一式</t>
  </si>
  <si>
    <t>受付用備品　一式</t>
  </si>
  <si>
    <t>飲食代</t>
  </si>
  <si>
    <t>出演者ケータリング</t>
  </si>
  <si>
    <t>スタッフ弁当・飲料</t>
  </si>
  <si>
    <t>交通費</t>
  </si>
  <si>
    <t>タクシー代</t>
  </si>
  <si>
    <t>デザイン費</t>
  </si>
  <si>
    <t>キービジュアル制作</t>
  </si>
  <si>
    <t>ポスターデザイン</t>
  </si>
  <si>
    <t>印刷費</t>
  </si>
  <si>
    <t>チラシ・ポスター</t>
  </si>
  <si>
    <t>Web関係費</t>
  </si>
  <si>
    <t>HP制作・管理</t>
  </si>
  <si>
    <t>会議費</t>
  </si>
  <si>
    <t>飲食店代金</t>
  </si>
  <si>
    <t>管理費用</t>
  </si>
  <si>
    <t>支出×10%</t>
  </si>
  <si>
    <t>売上一覧</t>
  </si>
  <si>
    <t>カンパ</t>
  </si>
  <si>
    <t>来場者投げ銭</t>
  </si>
  <si>
    <t>経費一覧</t>
  </si>
  <si>
    <t>支払先[メモ]</t>
  </si>
  <si>
    <t>支払期限[メモ]</t>
  </si>
  <si>
    <t>支出状況</t>
  </si>
  <si>
    <t>保険代</t>
  </si>
  <si>
    <t>損害賠償保険</t>
  </si>
  <si>
    <t>支出カテゴリ</t>
  </si>
  <si>
    <t>売上カテゴリ</t>
  </si>
  <si>
    <t>未処理</t>
  </si>
  <si>
    <t>支出済</t>
  </si>
  <si>
    <t>入金状況</t>
  </si>
  <si>
    <t>入金待ち</t>
  </si>
  <si>
    <t>受取り済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</si>
</sst>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[$-F800]dddd\,\ mmmm\ dd\,\ yyyy"/>
  </numFmts>
  <fonts count="4">
    <font>
      <sz val="11"/>
      <color theme="1"/>
      <name val="Calibri"/>
      <scheme val="minor"/>
    </font>
    <font>
      <b/>
      <sz val="11"/>
      <color theme="1"/>
      <name val="Yu gothic"/>
      <family val="3"/>
      <charset val="128"/>
    </font>
    <font>
      <sz val="11"/>
      <color theme="1"/>
      <name val="Yu gothic"/>
      <family val="3"/>
      <charset val="128"/>
    </font>
    <font>
      <sz val="6"/>
      <name val="Calibri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BDD6EE"/>
        <bgColor rgb="FFBDD6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38" fontId="2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vertical="center"/>
    </xf>
    <xf numFmtId="38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38" fontId="2" fillId="4" borderId="1" xfId="0" applyNumberFormat="1" applyFont="1" applyFill="1" applyBorder="1" applyAlignment="1">
      <alignment vertical="center"/>
    </xf>
    <xf numFmtId="176" fontId="2" fillId="4" borderId="1" xfId="0" applyNumberFormat="1" applyFont="1" applyFill="1" applyBorder="1" applyAlignment="1">
      <alignment vertical="center"/>
    </xf>
    <xf numFmtId="0" fontId="2" fillId="5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vertical="center"/>
    </xf>
    <xf numFmtId="38" fontId="2" fillId="4" borderId="3" xfId="0" applyNumberFormat="1" applyFont="1" applyFill="1" applyBorder="1" applyAlignment="1">
      <alignment vertical="center"/>
    </xf>
    <xf numFmtId="0" fontId="1" fillId="0" borderId="0" xfId="0" applyFont="1"/>
    <xf numFmtId="38" fontId="2" fillId="0" borderId="0" xfId="0" applyNumberFormat="1" applyFont="1"/>
    <xf numFmtId="0" fontId="1" fillId="2" borderId="1" xfId="0" applyFont="1" applyFill="1" applyBorder="1"/>
    <xf numFmtId="38" fontId="1" fillId="2" borderId="1" xfId="0" applyNumberFormat="1" applyFont="1" applyFill="1" applyBorder="1"/>
    <xf numFmtId="0" fontId="2" fillId="3" borderId="1" xfId="0" applyFont="1" applyFill="1" applyBorder="1"/>
    <xf numFmtId="0" fontId="2" fillId="0" borderId="1" xfId="0" applyFont="1" applyBorder="1"/>
    <xf numFmtId="38" fontId="2" fillId="0" borderId="1" xfId="0" applyNumberFormat="1" applyFont="1" applyBorder="1"/>
    <xf numFmtId="38" fontId="2" fillId="4" borderId="1" xfId="0" applyNumberFormat="1" applyFont="1" applyFill="1" applyBorder="1"/>
    <xf numFmtId="0" fontId="2" fillId="0" borderId="4" xfId="0" applyFont="1" applyBorder="1"/>
    <xf numFmtId="38" fontId="2" fillId="0" borderId="4" xfId="0" applyNumberFormat="1" applyFont="1" applyBorder="1"/>
    <xf numFmtId="0" fontId="2" fillId="5" borderId="2" xfId="0" applyFont="1" applyFill="1" applyBorder="1" applyAlignment="1">
      <alignment horizontal="right"/>
    </xf>
    <xf numFmtId="0" fontId="2" fillId="4" borderId="2" xfId="0" applyFont="1" applyFill="1" applyBorder="1"/>
    <xf numFmtId="0" fontId="2" fillId="4" borderId="5" xfId="0" applyFont="1" applyFill="1" applyBorder="1"/>
    <xf numFmtId="38" fontId="2" fillId="4" borderId="5" xfId="0" applyNumberFormat="1" applyFont="1" applyFill="1" applyBorder="1"/>
    <xf numFmtId="0" fontId="2" fillId="4" borderId="3" xfId="0" applyFont="1" applyFill="1" applyBorder="1"/>
    <xf numFmtId="38" fontId="2" fillId="4" borderId="3" xfId="0" applyNumberFormat="1" applyFont="1" applyFill="1" applyBorder="1"/>
    <xf numFmtId="177" fontId="2" fillId="0" borderId="0" xfId="0" applyNumberFormat="1" applyFont="1"/>
    <xf numFmtId="0" fontId="1" fillId="6" borderId="1" xfId="0" applyFont="1" applyFill="1" applyBorder="1"/>
    <xf numFmtId="177" fontId="1" fillId="6" borderId="1" xfId="0" applyNumberFormat="1" applyFont="1" applyFill="1" applyBorder="1"/>
    <xf numFmtId="177" fontId="2" fillId="0" borderId="1" xfId="0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Z1000"/>
  <sheetViews>
    <sheetView workbookViewId="0">
      <selection activeCell="C5" sqref="C5"/>
    </sheetView>
  </sheetViews>
  <sheetFormatPr defaultColWidth="14.453125" defaultRowHeight="15" customHeight="1"/>
  <cols>
    <col min="1" max="1" width="4.81640625" customWidth="1"/>
    <col min="2" max="2" width="27.453125" customWidth="1"/>
    <col min="3" max="6" width="13.26953125" customWidth="1"/>
    <col min="7" max="26" width="8.7265625" customWidth="1"/>
  </cols>
  <sheetData>
    <row r="1" spans="1:26" ht="25.5" customHeight="1">
      <c r="A1" s="1" t="s">
        <v>0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customHeight="1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5" customHeight="1">
      <c r="A3" s="1" t="s">
        <v>1</v>
      </c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 customHeight="1">
      <c r="A4" s="4" t="s">
        <v>2</v>
      </c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 customHeight="1">
      <c r="A5" s="6">
        <v>1</v>
      </c>
      <c r="B5" s="7" t="s">
        <v>8</v>
      </c>
      <c r="C5" s="8">
        <f>SUMIF(予算!$B$5:$B$15,予実管理!B5,予算!$G$5:$G$15)</f>
        <v>440000</v>
      </c>
      <c r="D5" s="8">
        <f>SUMIF('実績｜売上一覧'!$B$3:$B$52,予実管理!B5,'実績｜売上一覧'!$G$3:$G$52)</f>
        <v>419500</v>
      </c>
      <c r="E5" s="8">
        <f t="shared" ref="E5:E10" si="0">D5-C5</f>
        <v>-20500</v>
      </c>
      <c r="F5" s="9">
        <f t="shared" ref="F5:F10" si="1">D5/C5</f>
        <v>0.95340909090909087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 customHeight="1">
      <c r="A6" s="6">
        <v>2</v>
      </c>
      <c r="B6" s="7" t="s">
        <v>9</v>
      </c>
      <c r="C6" s="8">
        <f>SUMIF(予算!$B$5:$B$14,予実管理!B6,予算!$G$5:$G$14)</f>
        <v>100000</v>
      </c>
      <c r="D6" s="8">
        <f>SUMIF('実績｜売上一覧'!$B$3:$B$52,予実管理!B6,'実績｜売上一覧'!$G$3:$G$52)</f>
        <v>125000</v>
      </c>
      <c r="E6" s="8">
        <f t="shared" si="0"/>
        <v>25000</v>
      </c>
      <c r="F6" s="9">
        <f t="shared" si="1"/>
        <v>1.25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 customHeight="1">
      <c r="A7" s="6">
        <v>3</v>
      </c>
      <c r="B7" s="7" t="s">
        <v>10</v>
      </c>
      <c r="C7" s="8">
        <f>SUMIF(予算!$B$5:$B$14,予実管理!B7,予算!$G$5:$G$14)</f>
        <v>90000</v>
      </c>
      <c r="D7" s="8">
        <f>SUMIF('実績｜売上一覧'!$B$3:$B$52,予実管理!B7,'実績｜売上一覧'!$G$3:$G$52)</f>
        <v>85000</v>
      </c>
      <c r="E7" s="8">
        <f t="shared" si="0"/>
        <v>-5000</v>
      </c>
      <c r="F7" s="9">
        <f t="shared" si="1"/>
        <v>0.94444444444444442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 customHeight="1">
      <c r="A8" s="6">
        <v>4</v>
      </c>
      <c r="B8" s="7" t="s">
        <v>11</v>
      </c>
      <c r="C8" s="8">
        <f>SUMIF(予算!$B$5:$B$14,予実管理!B8,予算!$G$5:$G$14)</f>
        <v>20000</v>
      </c>
      <c r="D8" s="8">
        <f>SUMIF('実績｜売上一覧'!$B$3:$B$52,予実管理!B8,'実績｜売上一覧'!$G$3:$G$52)</f>
        <v>26000</v>
      </c>
      <c r="E8" s="8">
        <f t="shared" si="0"/>
        <v>6000</v>
      </c>
      <c r="F8" s="9">
        <f t="shared" si="1"/>
        <v>1.3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 customHeight="1">
      <c r="A9" s="6">
        <v>5</v>
      </c>
      <c r="B9" s="7" t="s">
        <v>12</v>
      </c>
      <c r="C9" s="8">
        <f>SUMIF(予算!$B$5:$B$14,予実管理!B9,予算!$G$5:$G$14)</f>
        <v>0</v>
      </c>
      <c r="D9" s="8">
        <f>SUMIF('実績｜売上一覧'!$B$3:$B$52,予実管理!B9,'実績｜売上一覧'!$G$3:$G$52)</f>
        <v>600</v>
      </c>
      <c r="E9" s="8">
        <f t="shared" si="0"/>
        <v>600</v>
      </c>
      <c r="F9" s="9" t="e">
        <f t="shared" si="1"/>
        <v>#DIV/0!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5" customHeight="1">
      <c r="A10" s="10" t="s">
        <v>13</v>
      </c>
      <c r="B10" s="11" t="s">
        <v>14</v>
      </c>
      <c r="C10" s="8">
        <f t="shared" ref="C10:D10" si="2">SUM(C5:C9)</f>
        <v>650000</v>
      </c>
      <c r="D10" s="8">
        <f t="shared" si="2"/>
        <v>656100</v>
      </c>
      <c r="E10" s="8">
        <f t="shared" si="0"/>
        <v>6100</v>
      </c>
      <c r="F10" s="9">
        <f t="shared" si="1"/>
        <v>1.0093846153846153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 customHeight="1">
      <c r="A11" s="2"/>
      <c r="B11" s="2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5" customHeight="1">
      <c r="A12" s="1" t="s">
        <v>15</v>
      </c>
      <c r="B12" s="2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 customHeight="1">
      <c r="A13" s="4" t="s">
        <v>2</v>
      </c>
      <c r="B13" s="4" t="s">
        <v>3</v>
      </c>
      <c r="C13" s="5" t="s">
        <v>4</v>
      </c>
      <c r="D13" s="5" t="s">
        <v>5</v>
      </c>
      <c r="E13" s="5" t="s">
        <v>6</v>
      </c>
      <c r="F13" s="5" t="s">
        <v>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5" customHeight="1">
      <c r="A14" s="6">
        <v>1</v>
      </c>
      <c r="B14" s="7" t="s">
        <v>16</v>
      </c>
      <c r="C14" s="8">
        <f>SUMIF(予算!$B$19:$B$39,予実管理!B14,予算!$G$19:$G$39)</f>
        <v>125000</v>
      </c>
      <c r="D14" s="8">
        <f>SUMIF('実績｜経費一覧'!$B$3:$B$52,予実管理!B14,'実績｜経費一覧'!$G$3:$G$52)</f>
        <v>128000</v>
      </c>
      <c r="E14" s="8">
        <f t="shared" ref="E14:E20" si="3">D14-C14</f>
        <v>3000</v>
      </c>
      <c r="F14" s="9">
        <f t="shared" ref="F14:F20" si="4">D14/C14</f>
        <v>1.024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5.5" customHeight="1">
      <c r="A15" s="6">
        <v>2</v>
      </c>
      <c r="B15" s="7" t="s">
        <v>17</v>
      </c>
      <c r="C15" s="8">
        <f>SUMIF(予算!$B$19:$B$39,予実管理!B15,予算!$G$19:$G$39)</f>
        <v>29000</v>
      </c>
      <c r="D15" s="8">
        <f>SUMIF('実績｜経費一覧'!$B$3:$B$52,予実管理!B15,'実績｜経費一覧'!$G$3:$G$52)</f>
        <v>51000</v>
      </c>
      <c r="E15" s="8">
        <f t="shared" si="3"/>
        <v>22000</v>
      </c>
      <c r="F15" s="9">
        <f t="shared" si="4"/>
        <v>1.7586206896551724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5" customHeight="1">
      <c r="A16" s="6">
        <v>3</v>
      </c>
      <c r="B16" s="7" t="s">
        <v>18</v>
      </c>
      <c r="C16" s="8">
        <f>SUMIF(予算!$B$19:$B$39,予実管理!B16,予算!$G$19:$G$39)</f>
        <v>260000</v>
      </c>
      <c r="D16" s="8">
        <f>SUMIF('実績｜経費一覧'!$B$3:$B$52,予実管理!B16,'実績｜経費一覧'!$G$3:$G$52)</f>
        <v>272000</v>
      </c>
      <c r="E16" s="8">
        <f t="shared" si="3"/>
        <v>12000</v>
      </c>
      <c r="F16" s="9">
        <f t="shared" si="4"/>
        <v>1.0461538461538462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.5" customHeight="1">
      <c r="A17" s="6">
        <v>4</v>
      </c>
      <c r="B17" s="7" t="s">
        <v>19</v>
      </c>
      <c r="C17" s="8">
        <f>SUMIF(予算!$B$19:$B$39,予実管理!B17,予算!$G$19:$G$39)</f>
        <v>81000</v>
      </c>
      <c r="D17" s="8">
        <f>SUMIF('実績｜経費一覧'!$B$3:$B$52,予実管理!B17,'実績｜経費一覧'!$G$3:$G$52)</f>
        <v>82000</v>
      </c>
      <c r="E17" s="8">
        <f t="shared" si="3"/>
        <v>1000</v>
      </c>
      <c r="F17" s="9">
        <f t="shared" si="4"/>
        <v>1.0123456790123457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.5" customHeight="1">
      <c r="A18" s="6">
        <v>5</v>
      </c>
      <c r="B18" s="7" t="s">
        <v>20</v>
      </c>
      <c r="C18" s="8">
        <f>SUMIF(予算!$B$19:$B$39,予実管理!B18,予算!$G$19:$G$39)</f>
        <v>55000</v>
      </c>
      <c r="D18" s="8">
        <f>SUMIF('実績｜経費一覧'!$B$3:$B$52,予実管理!B18,'実績｜経費一覧'!$G$3:$G$52)</f>
        <v>52400</v>
      </c>
      <c r="E18" s="8">
        <f t="shared" si="3"/>
        <v>-2600</v>
      </c>
      <c r="F18" s="9">
        <f t="shared" si="4"/>
        <v>0.95272727272727276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.5" customHeight="1">
      <c r="A19" s="6">
        <v>6</v>
      </c>
      <c r="B19" s="7" t="s">
        <v>21</v>
      </c>
      <c r="C19" s="8">
        <f>SUMIF(予算!$B$19:$B$39,予実管理!B19,予算!$G$19:$G$39)</f>
        <v>0</v>
      </c>
      <c r="D19" s="8">
        <f>SUMIF('実績｜経費一覧'!$B$3:$B$52,予実管理!B19,'実績｜経費一覧'!$G$3:$G$52)</f>
        <v>4000</v>
      </c>
      <c r="E19" s="8">
        <f t="shared" si="3"/>
        <v>4000</v>
      </c>
      <c r="F19" s="9" t="e">
        <f t="shared" si="4"/>
        <v>#DIV/0!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5.5" customHeight="1">
      <c r="A20" s="10" t="s">
        <v>13</v>
      </c>
      <c r="B20" s="11" t="s">
        <v>14</v>
      </c>
      <c r="C20" s="8">
        <f t="shared" ref="C20:D20" si="5">SUM(C14:C19)</f>
        <v>550000</v>
      </c>
      <c r="D20" s="8">
        <f t="shared" si="5"/>
        <v>589400</v>
      </c>
      <c r="E20" s="8">
        <f t="shared" si="3"/>
        <v>39400</v>
      </c>
      <c r="F20" s="9">
        <f t="shared" si="4"/>
        <v>1.0716363636363637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5.5" customHeight="1">
      <c r="A21" s="2"/>
      <c r="B21" s="2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5.5" customHeight="1">
      <c r="A22" s="1" t="s">
        <v>22</v>
      </c>
      <c r="B22" s="2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5.5" customHeight="1">
      <c r="A23" s="10" t="s">
        <v>13</v>
      </c>
      <c r="B23" s="7" t="s">
        <v>23</v>
      </c>
      <c r="C23" s="12">
        <f t="shared" ref="C23:D23" si="6">C10-C20</f>
        <v>100000</v>
      </c>
      <c r="D23" s="12">
        <f t="shared" si="6"/>
        <v>66700</v>
      </c>
      <c r="E23" s="8">
        <f>D23-C23</f>
        <v>-33300</v>
      </c>
      <c r="F23" s="9">
        <f>D23/C23</f>
        <v>0.66700000000000004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5" customHeight="1">
      <c r="A24" s="2"/>
      <c r="B24" s="2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5.5" customHeight="1">
      <c r="A25" s="2"/>
      <c r="B25" s="2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5.5" customHeight="1">
      <c r="A26" s="2"/>
      <c r="B26" s="2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5.5" customHeight="1">
      <c r="A27" s="2"/>
      <c r="B27" s="2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5.5" customHeight="1">
      <c r="A28" s="2"/>
      <c r="B28" s="2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5.5" customHeight="1">
      <c r="A29" s="2"/>
      <c r="B29" s="2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5.5" customHeight="1">
      <c r="A30" s="2"/>
      <c r="B30" s="2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5.5" customHeight="1">
      <c r="A31" s="2"/>
      <c r="B31" s="2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5.5" customHeight="1">
      <c r="A32" s="2"/>
      <c r="B32" s="2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5.5" customHeight="1">
      <c r="A33" s="2"/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5.5" customHeight="1">
      <c r="A34" s="2"/>
      <c r="B34" s="2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5.5" customHeight="1">
      <c r="A35" s="2"/>
      <c r="B35" s="2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5.5" customHeight="1">
      <c r="A36" s="2"/>
      <c r="B36" s="2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5.5" customHeight="1">
      <c r="A37" s="2"/>
      <c r="B37" s="2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5.5" customHeight="1">
      <c r="A38" s="2"/>
      <c r="B38" s="2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5.5" customHeight="1">
      <c r="A39" s="2"/>
      <c r="B39" s="2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5.5" customHeight="1">
      <c r="A40" s="2"/>
      <c r="B40" s="2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5.5" customHeight="1">
      <c r="A41" s="2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5.5" customHeight="1">
      <c r="A42" s="2"/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5.5" customHeight="1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5.5" customHeight="1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5.5" customHeight="1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5.5" customHeight="1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5.5" customHeight="1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5.5" customHeight="1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5.5" customHeight="1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5.5" customHeight="1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5.5" customHeight="1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5.5" customHeight="1">
      <c r="A52" s="2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5.5" customHeight="1">
      <c r="A53" s="2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5.5" customHeight="1">
      <c r="A54" s="2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5.5" customHeight="1">
      <c r="A55" s="2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5.5" customHeight="1">
      <c r="A56" s="2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5.5" customHeight="1">
      <c r="A57" s="2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5.5" customHeight="1">
      <c r="A58" s="2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5.5" customHeight="1">
      <c r="A59" s="2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5.5" customHeight="1">
      <c r="A60" s="2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5.5" customHeight="1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5.5" customHeight="1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5.5" customHeight="1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5.5" customHeight="1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5.5" customHeight="1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5.5" customHeight="1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5.5" customHeight="1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5.5" customHeight="1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5.5" customHeight="1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5.5" customHeight="1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5.5" customHeight="1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5.5" customHeight="1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5.5" customHeight="1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5.5" customHeight="1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5.5" customHeight="1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5.5" customHeight="1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5.5" customHeight="1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5.5" customHeight="1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5.5" customHeight="1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5.5" customHeight="1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5.5" customHeight="1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5.5" customHeight="1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5.5" customHeight="1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5.5" customHeight="1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5.5" customHeight="1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5.5" customHeight="1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5.5" customHeight="1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5.5" customHeight="1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5.5" customHeight="1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5.5" customHeight="1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5.5" customHeight="1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5.5" customHeight="1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5.5" customHeight="1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5.5" customHeight="1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5.5" customHeight="1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5.5" customHeight="1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5.5" customHeight="1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5.5" customHeight="1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5.5" customHeight="1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5.5" customHeight="1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5.5" customHeight="1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5.5" customHeight="1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5.5" customHeight="1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5.5" customHeight="1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5.5" customHeight="1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5.5" customHeight="1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5.5" customHeight="1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5.5" customHeight="1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5.5" customHeight="1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5.5" customHeight="1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5.5" customHeight="1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5.5" customHeight="1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5.5" customHeight="1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5.5" customHeight="1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5.5" customHeight="1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5.5" customHeight="1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5.5" customHeight="1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5.5" customHeight="1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5.5" customHeight="1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5.5" customHeight="1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5.5" customHeight="1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5.5" customHeight="1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5.5" customHeight="1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5.5" customHeight="1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5.5" customHeight="1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5.5" customHeight="1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5.5" customHeight="1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5.5" customHeight="1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5.5" customHeight="1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5.5" customHeight="1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5.5" customHeight="1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5.5" customHeight="1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5.5" customHeight="1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5.5" customHeight="1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5.5" customHeight="1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5.5" customHeight="1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5.5" customHeight="1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5.5" customHeight="1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5.5" customHeight="1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5.5" customHeight="1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5.5" customHeight="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5.5" customHeight="1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5.5" customHeight="1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5.5" customHeight="1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5.5" customHeight="1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5.5" customHeight="1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5.5" customHeight="1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5.5" customHeight="1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5.5" customHeight="1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5.5" customHeight="1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5.5" customHeight="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5.5" customHeight="1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5.5" customHeight="1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5.5" customHeight="1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5.5" customHeight="1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5.5" customHeight="1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5.5" customHeight="1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5.5" customHeight="1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5.5" customHeight="1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5.5" customHeight="1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5.5" customHeight="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5.5" customHeight="1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5.5" customHeight="1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5.5" customHeight="1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5.5" customHeight="1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5.5" customHeight="1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5.5" customHeight="1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5.5" customHeight="1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5.5" customHeight="1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5.5" customHeight="1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5.5" customHeight="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5.5" customHeight="1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5.5" customHeight="1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5.5" customHeight="1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5.5" customHeight="1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5.5" customHeight="1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5.5" customHeight="1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5.5" customHeight="1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5.5" customHeight="1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5.5" customHeight="1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5.5" customHeight="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5.5" customHeight="1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5.5" customHeight="1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5.5" customHeight="1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5.5" customHeight="1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5.5" customHeight="1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5.5" customHeight="1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5.5" customHeight="1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5.5" customHeight="1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5.5" customHeight="1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5.5" customHeight="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5.5" customHeight="1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5.5" customHeight="1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5.5" customHeight="1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5.5" customHeight="1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5.5" customHeight="1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5.5" customHeight="1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5.5" customHeight="1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5.5" customHeight="1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5.5" customHeight="1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5.5" customHeight="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5.5" customHeight="1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5.5" customHeight="1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5.5" customHeight="1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5.5" customHeight="1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5.5" customHeight="1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5.5" customHeight="1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5.5" customHeight="1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5.5" customHeight="1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5.5" customHeight="1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5.5" customHeight="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5.5" customHeight="1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5.5" customHeight="1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5.5" customHeight="1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5.5" customHeight="1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5.5" customHeight="1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5.5" customHeight="1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5.5" customHeight="1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5.5" customHeight="1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5.5" customHeight="1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5.5" customHeight="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5.5" customHeight="1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5.5" customHeight="1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5.5" customHeight="1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5.5" customHeight="1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5.5" customHeight="1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5.5" customHeight="1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5.5" customHeight="1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5.5" customHeight="1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5.5" customHeight="1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5.5" customHeight="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5.5" customHeight="1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5.5" customHeight="1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5.5" customHeight="1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5.5" customHeight="1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5.5" customHeight="1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5.5" customHeight="1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5.5" customHeight="1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5.5" customHeight="1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5.5" customHeight="1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5.5" customHeight="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5.5" customHeight="1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5.5" customHeight="1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5.5" customHeight="1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5.5" customHeight="1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5.5" customHeight="1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5.5" customHeight="1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5.5" customHeight="1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5.5" customHeight="1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5.5" customHeight="1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5.5" customHeight="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5.5" customHeight="1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5.5" customHeight="1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5.5" customHeight="1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5.5" customHeight="1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5.5" customHeight="1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5.5" customHeight="1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5.5" customHeight="1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5.5" customHeight="1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5.5" customHeight="1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5.5" customHeight="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5.5" customHeight="1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5.5" customHeight="1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5.5" customHeight="1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5.5" customHeight="1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5.5" customHeight="1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5.5" customHeight="1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5.5" customHeight="1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5.5" customHeight="1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5.5" customHeight="1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5.5" customHeight="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5.5" customHeight="1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5.5" customHeight="1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5.5" customHeight="1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5.5" customHeight="1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5.5" customHeight="1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5.5" customHeight="1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5.5" customHeight="1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5.5" customHeight="1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5.5" customHeight="1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5.5" customHeight="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5.5" customHeight="1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5.5" customHeight="1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5.5" customHeight="1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5.5" customHeight="1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5.5" customHeight="1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5.5" customHeight="1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5.5" customHeight="1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5.5" customHeight="1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5.5" customHeight="1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5.5" customHeight="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5.5" customHeight="1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5.5" customHeight="1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5.5" customHeight="1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5.5" customHeight="1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5.5" customHeight="1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5.5" customHeight="1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5.5" customHeight="1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5.5" customHeight="1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5.5" customHeight="1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5.5" customHeight="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5.5" customHeight="1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5.5" customHeight="1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5.5" customHeight="1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5.5" customHeight="1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5.5" customHeight="1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5.5" customHeight="1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5.5" customHeight="1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5.5" customHeight="1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5.5" customHeight="1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5.5" customHeight="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5.5" customHeight="1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5.5" customHeight="1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5.5" customHeight="1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5.5" customHeight="1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5.5" customHeight="1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5.5" customHeight="1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5.5" customHeight="1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5.5" customHeight="1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5.5" customHeight="1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5.5" customHeight="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5.5" customHeight="1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5.5" customHeight="1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5.5" customHeight="1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5.5" customHeight="1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5.5" customHeight="1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5.5" customHeight="1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5.5" customHeight="1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5.5" customHeight="1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5.5" customHeight="1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5.5" customHeight="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5.5" customHeight="1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5.5" customHeight="1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5.5" customHeight="1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5.5" customHeight="1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5.5" customHeight="1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5.5" customHeight="1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5.5" customHeight="1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5.5" customHeight="1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5.5" customHeight="1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5.5" customHeight="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5.5" customHeight="1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5.5" customHeight="1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5.5" customHeight="1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5.5" customHeight="1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5.5" customHeight="1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5.5" customHeight="1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5.5" customHeight="1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5.5" customHeight="1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5.5" customHeight="1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5.5" customHeight="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5.5" customHeight="1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5.5" customHeight="1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5.5" customHeight="1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5.5" customHeight="1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5.5" customHeight="1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5.5" customHeight="1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5.5" customHeight="1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5.5" customHeight="1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5.5" customHeight="1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5.5" customHeight="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5.5" customHeight="1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5.5" customHeight="1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5.5" customHeight="1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5.5" customHeight="1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5.5" customHeight="1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5.5" customHeight="1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5.5" customHeight="1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5.5" customHeight="1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5.5" customHeight="1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5.5" customHeight="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5.5" customHeight="1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5.5" customHeight="1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5.5" customHeight="1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5.5" customHeight="1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5.5" customHeight="1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5.5" customHeight="1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5.5" customHeight="1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5.5" customHeight="1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5.5" customHeight="1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5.5" customHeight="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5.5" customHeight="1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5.5" customHeight="1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5.5" customHeight="1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5.5" customHeight="1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5.5" customHeight="1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5.5" customHeight="1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5.5" customHeight="1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5.5" customHeight="1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5.5" customHeight="1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5.5" customHeight="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5.5" customHeight="1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5.5" customHeight="1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5.5" customHeight="1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5.5" customHeight="1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5.5" customHeight="1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5.5" customHeight="1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5.5" customHeight="1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5.5" customHeight="1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5.5" customHeight="1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5.5" customHeight="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5.5" customHeight="1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5.5" customHeight="1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5.5" customHeight="1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5.5" customHeight="1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5.5" customHeight="1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5.5" customHeight="1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5.5" customHeight="1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5.5" customHeight="1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5.5" customHeight="1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5.5" customHeight="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5.5" customHeight="1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5.5" customHeight="1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5.5" customHeight="1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5.5" customHeight="1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5.5" customHeight="1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5.5" customHeight="1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5.5" customHeight="1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5.5" customHeight="1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5.5" customHeight="1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5.5" customHeight="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5.5" customHeight="1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5.5" customHeight="1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5.5" customHeight="1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5.5" customHeight="1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5.5" customHeight="1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5.5" customHeight="1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5.5" customHeight="1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5.5" customHeight="1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5.5" customHeight="1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5.5" customHeight="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5.5" customHeight="1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5.5" customHeight="1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5.5" customHeight="1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5.5" customHeight="1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5.5" customHeight="1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5.5" customHeight="1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5.5" customHeight="1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5.5" customHeight="1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5.5" customHeight="1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5.5" customHeight="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5.5" customHeight="1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5.5" customHeight="1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5.5" customHeight="1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5.5" customHeight="1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5.5" customHeight="1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5.5" customHeight="1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5.5" customHeight="1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5.5" customHeight="1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5.5" customHeight="1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5.5" customHeight="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5.5" customHeight="1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5.5" customHeight="1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5.5" customHeight="1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5.5" customHeight="1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5.5" customHeight="1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5.5" customHeight="1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5.5" customHeight="1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5.5" customHeight="1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5.5" customHeight="1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5.5" customHeight="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5.5" customHeight="1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5.5" customHeight="1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5.5" customHeight="1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5.5" customHeight="1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5.5" customHeight="1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5.5" customHeight="1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5.5" customHeight="1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5.5" customHeight="1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5.5" customHeight="1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5.5" customHeight="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5.5" customHeight="1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5.5" customHeight="1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5.5" customHeight="1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5.5" customHeight="1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5.5" customHeight="1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5.5" customHeight="1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5.5" customHeight="1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5.5" customHeight="1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5.5" customHeight="1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5.5" customHeight="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5.5" customHeight="1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5.5" customHeight="1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5.5" customHeight="1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5.5" customHeight="1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5.5" customHeight="1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5.5" customHeight="1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5.5" customHeight="1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5.5" customHeight="1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5.5" customHeight="1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5.5" customHeight="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5.5" customHeight="1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5.5" customHeight="1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5.5" customHeight="1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5.5" customHeight="1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5.5" customHeight="1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5.5" customHeight="1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5.5" customHeight="1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5.5" customHeight="1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5.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5.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5.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5.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5.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5.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5.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5.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5.5" customHeight="1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5.5" customHeight="1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5.5" customHeight="1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5.5" customHeight="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5.5" customHeight="1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5.5" customHeight="1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5.5" customHeight="1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5.5" customHeight="1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5.5" customHeight="1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5.5" customHeight="1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5.5" customHeight="1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5.5" customHeight="1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5.5" customHeight="1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5.5" customHeight="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5.5" customHeight="1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5.5" customHeight="1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5.5" customHeight="1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5.5" customHeight="1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5.5" customHeight="1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5.5" customHeight="1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5.5" customHeight="1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5.5" customHeight="1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5.5" customHeight="1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5.5" customHeight="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5.5" customHeight="1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5.5" customHeight="1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5.5" customHeight="1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5.5" customHeight="1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5.5" customHeight="1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5.5" customHeight="1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5.5" customHeight="1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5.5" customHeight="1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5.5" customHeight="1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5.5" customHeight="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5.5" customHeight="1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5.5" customHeight="1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5.5" customHeight="1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5.5" customHeight="1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5.5" customHeight="1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5.5" customHeight="1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5.5" customHeight="1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5.5" customHeight="1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5.5" customHeight="1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5.5" customHeight="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5.5" customHeight="1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5.5" customHeight="1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5.5" customHeight="1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5.5" customHeight="1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5.5" customHeight="1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5.5" customHeight="1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5.5" customHeight="1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5.5" customHeight="1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5.5" customHeight="1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5.5" customHeight="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5.5" customHeight="1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5.5" customHeight="1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5.5" customHeight="1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5.5" customHeight="1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5.5" customHeight="1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5.5" customHeight="1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5.5" customHeight="1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5.5" customHeight="1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5.5" customHeight="1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5.5" customHeight="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5.5" customHeight="1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5.5" customHeight="1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5.5" customHeight="1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5.5" customHeight="1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5.5" customHeight="1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5.5" customHeight="1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5.5" customHeight="1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5.5" customHeight="1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5.5" customHeight="1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5.5" customHeight="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5.5" customHeight="1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5.5" customHeight="1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5.5" customHeight="1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5.5" customHeight="1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5.5" customHeight="1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5.5" customHeight="1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5.5" customHeight="1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5.5" customHeight="1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5.5" customHeight="1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5.5" customHeight="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5.5" customHeight="1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5.5" customHeight="1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5.5" customHeight="1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5.5" customHeight="1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5.5" customHeight="1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5.5" customHeight="1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5.5" customHeight="1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5.5" customHeight="1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5.5" customHeight="1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5.5" customHeight="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5.5" customHeight="1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5.5" customHeight="1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5.5" customHeight="1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5.5" customHeight="1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5.5" customHeight="1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5.5" customHeight="1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5.5" customHeight="1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5.5" customHeight="1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5.5" customHeight="1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5.5" customHeight="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5.5" customHeight="1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5.5" customHeight="1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5.5" customHeight="1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5.5" customHeight="1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5.5" customHeight="1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5.5" customHeight="1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5.5" customHeight="1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5.5" customHeight="1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5.5" customHeight="1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5.5" customHeight="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5.5" customHeight="1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5.5" customHeight="1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5.5" customHeight="1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5.5" customHeight="1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5.5" customHeight="1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5.5" customHeight="1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5.5" customHeight="1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5.5" customHeight="1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5.5" customHeight="1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5.5" customHeight="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5.5" customHeight="1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5.5" customHeight="1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5.5" customHeight="1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5.5" customHeight="1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5.5" customHeight="1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5.5" customHeight="1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5.5" customHeight="1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5.5" customHeight="1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5.5" customHeight="1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5.5" customHeight="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5.5" customHeight="1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5.5" customHeight="1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5.5" customHeight="1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5.5" customHeight="1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5.5" customHeight="1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5.5" customHeight="1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5.5" customHeight="1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5.5" customHeight="1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5.5" customHeight="1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5.5" customHeight="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5.5" customHeight="1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5.5" customHeight="1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5.5" customHeight="1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5.5" customHeight="1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5.5" customHeight="1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5.5" customHeight="1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5.5" customHeight="1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5.5" customHeight="1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5.5" customHeight="1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5.5" customHeight="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5.5" customHeight="1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5.5" customHeight="1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5.5" customHeight="1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5.5" customHeight="1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5.5" customHeight="1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5.5" customHeight="1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5.5" customHeight="1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5.5" customHeight="1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5.5" customHeight="1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5.5" customHeight="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5.5" customHeight="1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5.5" customHeight="1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5.5" customHeight="1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5.5" customHeight="1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5.5" customHeight="1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5.5" customHeight="1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5.5" customHeight="1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5.5" customHeight="1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5.5" customHeight="1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5.5" customHeight="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5.5" customHeight="1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5.5" customHeight="1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5.5" customHeight="1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5.5" customHeight="1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5.5" customHeight="1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5.5" customHeight="1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5.5" customHeight="1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5.5" customHeight="1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5.5" customHeight="1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5.5" customHeight="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5.5" customHeight="1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5.5" customHeight="1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5.5" customHeight="1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5.5" customHeight="1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5.5" customHeight="1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5.5" customHeight="1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5.5" customHeight="1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5.5" customHeight="1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5.5" customHeight="1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5.5" customHeight="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5.5" customHeight="1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5.5" customHeight="1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5.5" customHeight="1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5.5" customHeight="1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5.5" customHeight="1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5.5" customHeight="1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5.5" customHeight="1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5.5" customHeight="1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5.5" customHeight="1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5.5" customHeight="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5.5" customHeight="1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5.5" customHeight="1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5.5" customHeight="1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5.5" customHeight="1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5.5" customHeight="1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5.5" customHeight="1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5.5" customHeight="1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5.5" customHeight="1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5.5" customHeight="1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5.5" customHeight="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5.5" customHeight="1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5.5" customHeight="1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5.5" customHeight="1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5.5" customHeight="1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5.5" customHeight="1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5.5" customHeight="1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5.5" customHeight="1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5.5" customHeight="1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5.5" customHeight="1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5.5" customHeight="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5.5" customHeight="1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5.5" customHeight="1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5.5" customHeight="1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5.5" customHeight="1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5.5" customHeight="1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5.5" customHeight="1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5.5" customHeight="1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5.5" customHeight="1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5.5" customHeight="1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5.5" customHeight="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5.5" customHeight="1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5.5" customHeight="1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5.5" customHeight="1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5.5" customHeight="1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5.5" customHeight="1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5.5" customHeight="1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5.5" customHeight="1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5.5" customHeight="1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5.5" customHeight="1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5.5" customHeight="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5.5" customHeight="1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5.5" customHeight="1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5.5" customHeight="1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5.5" customHeight="1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5.5" customHeight="1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5.5" customHeight="1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5.5" customHeight="1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5.5" customHeight="1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5.5" customHeight="1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5.5" customHeight="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5.5" customHeight="1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5.5" customHeight="1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5.5" customHeight="1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5.5" customHeight="1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5.5" customHeight="1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5.5" customHeight="1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5.5" customHeight="1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5.5" customHeight="1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5.5" customHeight="1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5.5" customHeight="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5.5" customHeight="1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5.5" customHeight="1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5.5" customHeight="1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5.5" customHeight="1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5.5" customHeight="1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5.5" customHeight="1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5.5" customHeight="1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5.5" customHeight="1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5.5" customHeight="1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5.5" customHeight="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5.5" customHeight="1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5.5" customHeight="1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5.5" customHeight="1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5.5" customHeight="1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5.5" customHeight="1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5.5" customHeight="1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5.5" customHeight="1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5.5" customHeight="1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5.5" customHeight="1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5.5" customHeight="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5.5" customHeight="1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5.5" customHeight="1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5.5" customHeight="1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5.5" customHeight="1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5.5" customHeight="1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5.5" customHeight="1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5.5" customHeight="1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5.5" customHeight="1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5.5" customHeight="1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5.5" customHeight="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5.5" customHeight="1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5.5" customHeight="1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5.5" customHeight="1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5.5" customHeight="1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5.5" customHeight="1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5.5" customHeight="1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5.5" customHeight="1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5.5" customHeight="1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5.5" customHeight="1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5.5" customHeight="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5.5" customHeight="1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5.5" customHeight="1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5.5" customHeight="1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5.5" customHeight="1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5.5" customHeight="1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5.5" customHeight="1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5.5" customHeight="1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5.5" customHeight="1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5.5" customHeight="1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5.5" customHeight="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5.5" customHeight="1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5.5" customHeight="1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5.5" customHeight="1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5.5" customHeight="1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5.5" customHeight="1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5.5" customHeight="1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5.5" customHeight="1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5.5" customHeight="1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5.5" customHeight="1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5.5" customHeight="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5.5" customHeight="1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5.5" customHeight="1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5.5" customHeight="1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5.5" customHeight="1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5.5" customHeight="1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5.5" customHeight="1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5.5" customHeight="1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5.5" customHeight="1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5.5" customHeight="1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5.5" customHeight="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5.5" customHeight="1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5.5" customHeight="1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5.5" customHeight="1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5.5" customHeight="1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5.5" customHeight="1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5.5" customHeight="1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5.5" customHeight="1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5.5" customHeight="1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5.5" customHeight="1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5.5" customHeight="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5.5" customHeight="1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5.5" customHeight="1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5.5" customHeight="1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5.5" customHeight="1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5.5" customHeight="1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5.5" customHeight="1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5.5" customHeight="1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5.5" customHeight="1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5.5" customHeight="1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5.5" customHeight="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5.5" customHeight="1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5.5" customHeight="1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5.5" customHeight="1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5.5" customHeight="1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5.5" customHeight="1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5.5" customHeight="1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5.5" customHeight="1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5.5" customHeight="1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5.5" customHeight="1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5.5" customHeight="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5.5" customHeight="1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5.5" customHeight="1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5.5" customHeight="1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5.5" customHeight="1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5.5" customHeight="1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5.5" customHeight="1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5.5" customHeight="1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5.5" customHeight="1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5.5" customHeight="1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5.5" customHeight="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5.5" customHeight="1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5.5" customHeight="1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5.5" customHeight="1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5.5" customHeight="1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5.5" customHeight="1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5.5" customHeight="1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5.5" customHeight="1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5.5" customHeight="1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5.5" customHeight="1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5.5" customHeight="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5.5" customHeight="1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5.5" customHeight="1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5.5" customHeight="1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5.5" customHeight="1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5.5" customHeight="1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5.5" customHeight="1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5.5" customHeight="1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5.5" customHeight="1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5.5" customHeight="1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5.5" customHeight="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5.5" customHeight="1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5.5" customHeight="1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5.5" customHeight="1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5.5" customHeight="1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5.5" customHeight="1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5.5" customHeight="1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5.5" customHeight="1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5.5" customHeight="1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5.5" customHeight="1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5.5" customHeight="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5.5" customHeight="1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5.5" customHeight="1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5.5" customHeight="1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5.5" customHeight="1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5.5" customHeight="1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5.5" customHeight="1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5.5" customHeight="1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5.5" customHeight="1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5.5" customHeight="1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5.5" customHeight="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5.5" customHeight="1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5.5" customHeight="1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5.5" customHeight="1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5.5" customHeight="1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5.5" customHeight="1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5.5" customHeight="1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5.5" customHeight="1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5.5" customHeight="1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5.5" customHeight="1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5.5" customHeight="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5.5" customHeight="1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5.5" customHeight="1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5.5" customHeight="1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5.5" customHeight="1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5.5" customHeight="1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5.5" customHeight="1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5.5" customHeight="1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5.5" customHeight="1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5.5" customHeight="1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5.5" customHeight="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5.5" customHeight="1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5.5" customHeight="1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5.5" customHeight="1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5.5" customHeight="1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5.5" customHeight="1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5.5" customHeight="1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5.5" customHeight="1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5.5" customHeight="1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5.5" customHeight="1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5.5" customHeight="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5.5" customHeight="1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5.5" customHeight="1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5.5" customHeight="1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5.5" customHeight="1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5.5" customHeight="1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5.5" customHeight="1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5.5" customHeight="1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5.5" customHeight="1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5.5" customHeight="1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5.5" customHeight="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5.5" customHeight="1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5.5" customHeight="1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5.5" customHeight="1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5.5" customHeight="1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5.5" customHeight="1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5.5" customHeight="1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5.5" customHeight="1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5.5" customHeight="1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5.5" customHeight="1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5.5" customHeight="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5.5" customHeight="1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5.5" customHeight="1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5.5" customHeight="1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5.5" customHeight="1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5.5" customHeight="1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5.5" customHeight="1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5.5" customHeight="1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5.5" customHeight="1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5.5" customHeight="1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5.5" customHeight="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5.5" customHeight="1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5.5" customHeight="1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5.5" customHeight="1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5.5" customHeight="1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5.5" customHeight="1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5.5" customHeight="1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5.5" customHeight="1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5.5" customHeight="1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5.5" customHeight="1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5.5" customHeight="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5.5" customHeight="1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5.5" customHeight="1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5.5" customHeight="1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5.5" customHeight="1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5.5" customHeight="1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5.5" customHeight="1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5.5" customHeight="1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5.5" customHeight="1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5.5" customHeight="1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3"/>
  <pageMargins left="0.25" right="0.25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入力規制!$A$2:$A$7</xm:f>
          </x14:formula1>
          <xm:sqref>B14:B19</xm:sqref>
        </x14:dataValidation>
        <x14:dataValidation type="list" allowBlank="1" showErrorMessage="1" xr:uid="{00000000-0002-0000-0000-000001000000}">
          <x14:formula1>
            <xm:f>入力規制!$A$10:$A$14</xm:f>
          </x14:formula1>
          <xm:sqref>B5:B9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G1000"/>
  <sheetViews>
    <sheetView tabSelected="1" zoomScale="115" zoomScaleNormal="115" workbookViewId="0">
      <selection activeCell="B38" sqref="B38"/>
    </sheetView>
  </sheetViews>
  <sheetFormatPr defaultColWidth="14.453125" defaultRowHeight="15" customHeight="1"/>
  <cols>
    <col min="1" max="1" width="4.81640625" style="35" customWidth="1"/>
    <col min="2" max="3" width="16.7265625" style="35" customWidth="1"/>
    <col min="4" max="4" width="20.81640625" style="35" customWidth="1"/>
    <col min="5" max="26" width="8.7265625" style="35" customWidth="1"/>
    <col min="27" max="16384" width="14.453125" style="35"/>
  </cols>
  <sheetData>
    <row r="1" spans="1:7" ht="18" customHeight="1">
      <c r="A1" s="13" t="s">
        <v>24</v>
      </c>
      <c r="E1" s="14"/>
      <c r="G1" s="14"/>
    </row>
    <row r="2" spans="1:7" ht="18" customHeight="1">
      <c r="E2" s="14"/>
      <c r="G2" s="14"/>
    </row>
    <row r="3" spans="1:7" ht="18" customHeight="1">
      <c r="A3" s="13" t="s">
        <v>1</v>
      </c>
      <c r="E3" s="14"/>
      <c r="G3" s="14"/>
    </row>
    <row r="4" spans="1:7" ht="18" customHeight="1">
      <c r="A4" s="15" t="s">
        <v>2</v>
      </c>
      <c r="B4" s="15" t="s">
        <v>3</v>
      </c>
      <c r="C4" s="15" t="s">
        <v>25</v>
      </c>
      <c r="D4" s="15" t="s">
        <v>26</v>
      </c>
      <c r="E4" s="16" t="s">
        <v>27</v>
      </c>
      <c r="F4" s="15" t="s">
        <v>28</v>
      </c>
      <c r="G4" s="16" t="s">
        <v>29</v>
      </c>
    </row>
    <row r="5" spans="1:7" ht="18" customHeight="1">
      <c r="A5" s="17">
        <v>1</v>
      </c>
      <c r="B5" s="18" t="s">
        <v>8</v>
      </c>
      <c r="C5" s="18" t="s">
        <v>30</v>
      </c>
      <c r="D5" s="18" t="s">
        <v>31</v>
      </c>
      <c r="E5" s="19">
        <v>2000</v>
      </c>
      <c r="F5" s="18">
        <v>100</v>
      </c>
      <c r="G5" s="20">
        <f t="shared" ref="G5:G14" si="0">E5*F5</f>
        <v>200000</v>
      </c>
    </row>
    <row r="6" spans="1:7" ht="18" customHeight="1">
      <c r="A6" s="17">
        <v>2</v>
      </c>
      <c r="B6" s="18" t="s">
        <v>8</v>
      </c>
      <c r="C6" s="18" t="s">
        <v>30</v>
      </c>
      <c r="D6" s="18" t="s">
        <v>32</v>
      </c>
      <c r="E6" s="19">
        <v>2500</v>
      </c>
      <c r="F6" s="18">
        <v>60</v>
      </c>
      <c r="G6" s="20">
        <f t="shared" si="0"/>
        <v>150000</v>
      </c>
    </row>
    <row r="7" spans="1:7" ht="18" customHeight="1">
      <c r="A7" s="17">
        <v>3</v>
      </c>
      <c r="B7" s="18" t="s">
        <v>8</v>
      </c>
      <c r="C7" s="18" t="s">
        <v>33</v>
      </c>
      <c r="D7" s="18" t="s">
        <v>34</v>
      </c>
      <c r="E7" s="19">
        <v>1800</v>
      </c>
      <c r="F7" s="18">
        <v>50</v>
      </c>
      <c r="G7" s="20">
        <f t="shared" si="0"/>
        <v>90000</v>
      </c>
    </row>
    <row r="8" spans="1:7" ht="18" customHeight="1">
      <c r="A8" s="17">
        <v>4</v>
      </c>
      <c r="B8" s="18" t="s">
        <v>9</v>
      </c>
      <c r="C8" s="18" t="s">
        <v>35</v>
      </c>
      <c r="D8" s="18"/>
      <c r="E8" s="19">
        <v>50000</v>
      </c>
      <c r="F8" s="18">
        <v>1</v>
      </c>
      <c r="G8" s="20">
        <f t="shared" si="0"/>
        <v>50000</v>
      </c>
    </row>
    <row r="9" spans="1:7" ht="18" customHeight="1">
      <c r="A9" s="17">
        <v>5</v>
      </c>
      <c r="B9" s="18" t="s">
        <v>9</v>
      </c>
      <c r="C9" s="18" t="s">
        <v>36</v>
      </c>
      <c r="D9" s="18"/>
      <c r="E9" s="19">
        <v>25000</v>
      </c>
      <c r="F9" s="18">
        <v>2</v>
      </c>
      <c r="G9" s="20">
        <f t="shared" si="0"/>
        <v>50000</v>
      </c>
    </row>
    <row r="10" spans="1:7" ht="18" customHeight="1">
      <c r="A10" s="17">
        <v>6</v>
      </c>
      <c r="B10" s="18" t="s">
        <v>10</v>
      </c>
      <c r="C10" s="18" t="s">
        <v>37</v>
      </c>
      <c r="D10" s="18" t="s">
        <v>38</v>
      </c>
      <c r="E10" s="19">
        <v>5000</v>
      </c>
      <c r="F10" s="18">
        <v>6</v>
      </c>
      <c r="G10" s="20">
        <f t="shared" si="0"/>
        <v>30000</v>
      </c>
    </row>
    <row r="11" spans="1:7" ht="18" customHeight="1">
      <c r="A11" s="17">
        <v>7</v>
      </c>
      <c r="B11" s="18" t="s">
        <v>10</v>
      </c>
      <c r="C11" s="18" t="s">
        <v>39</v>
      </c>
      <c r="D11" s="18" t="s">
        <v>40</v>
      </c>
      <c r="E11" s="19">
        <v>10000</v>
      </c>
      <c r="F11" s="18">
        <v>3</v>
      </c>
      <c r="G11" s="20">
        <f t="shared" si="0"/>
        <v>30000</v>
      </c>
    </row>
    <row r="12" spans="1:7" ht="18" customHeight="1">
      <c r="A12" s="17">
        <v>8</v>
      </c>
      <c r="B12" s="18" t="s">
        <v>10</v>
      </c>
      <c r="C12" s="18" t="s">
        <v>41</v>
      </c>
      <c r="D12" s="18" t="s">
        <v>42</v>
      </c>
      <c r="E12" s="19">
        <v>15000</v>
      </c>
      <c r="F12" s="18">
        <v>2</v>
      </c>
      <c r="G12" s="20">
        <f t="shared" si="0"/>
        <v>30000</v>
      </c>
    </row>
    <row r="13" spans="1:7" ht="18" customHeight="1">
      <c r="A13" s="17">
        <v>9</v>
      </c>
      <c r="B13" s="18" t="s">
        <v>11</v>
      </c>
      <c r="C13" s="18" t="s">
        <v>43</v>
      </c>
      <c r="D13" s="18"/>
      <c r="E13" s="19">
        <v>500</v>
      </c>
      <c r="F13" s="18">
        <v>20</v>
      </c>
      <c r="G13" s="20">
        <f t="shared" si="0"/>
        <v>10000</v>
      </c>
    </row>
    <row r="14" spans="1:7" ht="18" customHeight="1">
      <c r="A14" s="17">
        <v>10</v>
      </c>
      <c r="B14" s="18" t="s">
        <v>11</v>
      </c>
      <c r="C14" s="21" t="s">
        <v>44</v>
      </c>
      <c r="D14" s="21"/>
      <c r="E14" s="22">
        <v>1000</v>
      </c>
      <c r="F14" s="21">
        <v>10</v>
      </c>
      <c r="G14" s="20">
        <f t="shared" si="0"/>
        <v>10000</v>
      </c>
    </row>
    <row r="15" spans="1:7" ht="18" customHeight="1">
      <c r="A15" s="23" t="s">
        <v>13</v>
      </c>
      <c r="B15" s="24" t="s">
        <v>14</v>
      </c>
      <c r="C15" s="25"/>
      <c r="D15" s="25"/>
      <c r="E15" s="26"/>
      <c r="F15" s="27"/>
      <c r="G15" s="28">
        <f>SUM(G5:G14)</f>
        <v>650000</v>
      </c>
    </row>
    <row r="16" spans="1:7" ht="18" customHeight="1">
      <c r="E16" s="14"/>
      <c r="G16" s="14"/>
    </row>
    <row r="17" spans="1:7" ht="18" customHeight="1">
      <c r="A17" s="13" t="s">
        <v>15</v>
      </c>
      <c r="E17" s="14"/>
      <c r="G17" s="14"/>
    </row>
    <row r="18" spans="1:7" ht="18" customHeight="1">
      <c r="A18" s="15" t="s">
        <v>2</v>
      </c>
      <c r="B18" s="15" t="s">
        <v>3</v>
      </c>
      <c r="C18" s="15" t="s">
        <v>25</v>
      </c>
      <c r="D18" s="15" t="s">
        <v>26</v>
      </c>
      <c r="E18" s="16" t="s">
        <v>27</v>
      </c>
      <c r="F18" s="15" t="s">
        <v>28</v>
      </c>
      <c r="G18" s="16" t="s">
        <v>29</v>
      </c>
    </row>
    <row r="19" spans="1:7" ht="18" customHeight="1">
      <c r="A19" s="17">
        <v>1</v>
      </c>
      <c r="B19" s="18" t="s">
        <v>16</v>
      </c>
      <c r="C19" s="18" t="s">
        <v>45</v>
      </c>
      <c r="D19" s="18" t="s">
        <v>46</v>
      </c>
      <c r="E19" s="19">
        <v>100000</v>
      </c>
      <c r="F19" s="18">
        <v>1</v>
      </c>
      <c r="G19" s="20">
        <f t="shared" ref="G19:G38" si="1">E19</f>
        <v>100000</v>
      </c>
    </row>
    <row r="20" spans="1:7" ht="18" customHeight="1">
      <c r="A20" s="17">
        <v>2</v>
      </c>
      <c r="B20" s="18" t="s">
        <v>16</v>
      </c>
      <c r="C20" s="18" t="s">
        <v>45</v>
      </c>
      <c r="D20" s="18" t="s">
        <v>47</v>
      </c>
      <c r="E20" s="19">
        <v>25000</v>
      </c>
      <c r="F20" s="18">
        <v>1</v>
      </c>
      <c r="G20" s="20">
        <f t="shared" si="1"/>
        <v>25000</v>
      </c>
    </row>
    <row r="21" spans="1:7" ht="18" customHeight="1">
      <c r="A21" s="17">
        <v>3</v>
      </c>
      <c r="B21" s="18" t="s">
        <v>17</v>
      </c>
      <c r="C21" s="18" t="s">
        <v>48</v>
      </c>
      <c r="D21" s="18" t="s">
        <v>49</v>
      </c>
      <c r="E21" s="19">
        <v>18000</v>
      </c>
      <c r="F21" s="18">
        <v>1</v>
      </c>
      <c r="G21" s="20">
        <f t="shared" si="1"/>
        <v>18000</v>
      </c>
    </row>
    <row r="22" spans="1:7" ht="18" customHeight="1">
      <c r="A22" s="17">
        <v>4</v>
      </c>
      <c r="B22" s="18" t="s">
        <v>17</v>
      </c>
      <c r="C22" s="18" t="s">
        <v>50</v>
      </c>
      <c r="D22" s="18" t="s">
        <v>51</v>
      </c>
      <c r="E22" s="19">
        <v>11000</v>
      </c>
      <c r="F22" s="18">
        <v>3</v>
      </c>
      <c r="G22" s="20">
        <f t="shared" si="1"/>
        <v>11000</v>
      </c>
    </row>
    <row r="23" spans="1:7" ht="18" customHeight="1">
      <c r="A23" s="17">
        <v>5</v>
      </c>
      <c r="B23" s="18" t="s">
        <v>18</v>
      </c>
      <c r="C23" s="18" t="s">
        <v>52</v>
      </c>
      <c r="D23" s="18" t="s">
        <v>53</v>
      </c>
      <c r="E23" s="19">
        <v>40000</v>
      </c>
      <c r="F23" s="18">
        <v>1</v>
      </c>
      <c r="G23" s="20">
        <f t="shared" si="1"/>
        <v>40000</v>
      </c>
    </row>
    <row r="24" spans="1:7" ht="18" customHeight="1">
      <c r="A24" s="17">
        <v>6</v>
      </c>
      <c r="B24" s="18" t="s">
        <v>18</v>
      </c>
      <c r="C24" s="18" t="s">
        <v>52</v>
      </c>
      <c r="D24" s="18" t="s">
        <v>53</v>
      </c>
      <c r="E24" s="19">
        <v>30000</v>
      </c>
      <c r="F24" s="18">
        <v>1</v>
      </c>
      <c r="G24" s="20">
        <f t="shared" si="1"/>
        <v>30000</v>
      </c>
    </row>
    <row r="25" spans="1:7" ht="18" customHeight="1">
      <c r="A25" s="17">
        <v>7</v>
      </c>
      <c r="B25" s="18" t="s">
        <v>18</v>
      </c>
      <c r="C25" s="18" t="s">
        <v>54</v>
      </c>
      <c r="D25" s="18" t="s">
        <v>55</v>
      </c>
      <c r="E25" s="19">
        <v>60000</v>
      </c>
      <c r="F25" s="18">
        <v>1</v>
      </c>
      <c r="G25" s="20">
        <f t="shared" si="1"/>
        <v>60000</v>
      </c>
    </row>
    <row r="26" spans="1:7" ht="18" customHeight="1">
      <c r="A26" s="17">
        <v>8</v>
      </c>
      <c r="B26" s="18" t="s">
        <v>18</v>
      </c>
      <c r="C26" s="18" t="s">
        <v>54</v>
      </c>
      <c r="D26" s="18" t="s">
        <v>56</v>
      </c>
      <c r="E26" s="19">
        <v>40000</v>
      </c>
      <c r="F26" s="18">
        <v>1</v>
      </c>
      <c r="G26" s="20">
        <f t="shared" si="1"/>
        <v>40000</v>
      </c>
    </row>
    <row r="27" spans="1:7" ht="18" customHeight="1">
      <c r="A27" s="17">
        <v>9</v>
      </c>
      <c r="B27" s="18" t="s">
        <v>18</v>
      </c>
      <c r="C27" s="18" t="s">
        <v>54</v>
      </c>
      <c r="D27" s="18" t="s">
        <v>57</v>
      </c>
      <c r="E27" s="19">
        <v>30000</v>
      </c>
      <c r="F27" s="18">
        <v>1</v>
      </c>
      <c r="G27" s="20">
        <f t="shared" si="1"/>
        <v>30000</v>
      </c>
    </row>
    <row r="28" spans="1:7" ht="18" customHeight="1">
      <c r="A28" s="17">
        <v>10</v>
      </c>
      <c r="B28" s="18" t="s">
        <v>18</v>
      </c>
      <c r="C28" s="18" t="s">
        <v>58</v>
      </c>
      <c r="D28" s="18" t="s">
        <v>59</v>
      </c>
      <c r="E28" s="19">
        <v>5000</v>
      </c>
      <c r="F28" s="18">
        <v>1</v>
      </c>
      <c r="G28" s="20">
        <f t="shared" si="1"/>
        <v>5000</v>
      </c>
    </row>
    <row r="29" spans="1:7" ht="18" customHeight="1">
      <c r="A29" s="17">
        <v>11</v>
      </c>
      <c r="B29" s="18" t="s">
        <v>18</v>
      </c>
      <c r="C29" s="18" t="s">
        <v>58</v>
      </c>
      <c r="D29" s="18" t="s">
        <v>60</v>
      </c>
      <c r="E29" s="19">
        <v>5000</v>
      </c>
      <c r="F29" s="18">
        <v>1</v>
      </c>
      <c r="G29" s="20">
        <f t="shared" si="1"/>
        <v>5000</v>
      </c>
    </row>
    <row r="30" spans="1:7" ht="18" customHeight="1">
      <c r="A30" s="17">
        <v>12</v>
      </c>
      <c r="B30" s="18" t="s">
        <v>18</v>
      </c>
      <c r="C30" s="18" t="s">
        <v>61</v>
      </c>
      <c r="D30" s="18" t="s">
        <v>62</v>
      </c>
      <c r="E30" s="19">
        <v>25000</v>
      </c>
      <c r="F30" s="18">
        <v>1</v>
      </c>
      <c r="G30" s="20">
        <f t="shared" si="1"/>
        <v>25000</v>
      </c>
    </row>
    <row r="31" spans="1:7" ht="18" customHeight="1">
      <c r="A31" s="17">
        <v>13</v>
      </c>
      <c r="B31" s="18" t="s">
        <v>18</v>
      </c>
      <c r="C31" s="18" t="s">
        <v>61</v>
      </c>
      <c r="D31" s="18" t="s">
        <v>63</v>
      </c>
      <c r="E31" s="19">
        <v>15000</v>
      </c>
      <c r="F31" s="18">
        <v>1</v>
      </c>
      <c r="G31" s="20">
        <f t="shared" si="1"/>
        <v>15000</v>
      </c>
    </row>
    <row r="32" spans="1:7" ht="18" customHeight="1">
      <c r="A32" s="17">
        <v>14</v>
      </c>
      <c r="B32" s="18" t="s">
        <v>18</v>
      </c>
      <c r="C32" s="18" t="s">
        <v>64</v>
      </c>
      <c r="D32" s="18" t="s">
        <v>65</v>
      </c>
      <c r="E32" s="19">
        <v>10000</v>
      </c>
      <c r="F32" s="18">
        <v>1</v>
      </c>
      <c r="G32" s="20">
        <f t="shared" si="1"/>
        <v>10000</v>
      </c>
    </row>
    <row r="33" spans="1:7" ht="18" customHeight="1">
      <c r="A33" s="17">
        <v>15</v>
      </c>
      <c r="B33" s="18" t="s">
        <v>19</v>
      </c>
      <c r="C33" s="18" t="s">
        <v>66</v>
      </c>
      <c r="D33" s="18" t="s">
        <v>67</v>
      </c>
      <c r="E33" s="19">
        <v>25000</v>
      </c>
      <c r="F33" s="18">
        <v>1</v>
      </c>
      <c r="G33" s="20">
        <f t="shared" si="1"/>
        <v>25000</v>
      </c>
    </row>
    <row r="34" spans="1:7" ht="18" customHeight="1">
      <c r="A34" s="17">
        <v>16</v>
      </c>
      <c r="B34" s="18" t="s">
        <v>19</v>
      </c>
      <c r="C34" s="18" t="s">
        <v>66</v>
      </c>
      <c r="D34" s="18" t="s">
        <v>68</v>
      </c>
      <c r="E34" s="19">
        <v>15000</v>
      </c>
      <c r="F34" s="18">
        <v>1</v>
      </c>
      <c r="G34" s="20">
        <f t="shared" si="1"/>
        <v>15000</v>
      </c>
    </row>
    <row r="35" spans="1:7" ht="18" customHeight="1">
      <c r="A35" s="17">
        <v>17</v>
      </c>
      <c r="B35" s="18" t="s">
        <v>19</v>
      </c>
      <c r="C35" s="18" t="s">
        <v>69</v>
      </c>
      <c r="D35" s="18" t="s">
        <v>70</v>
      </c>
      <c r="E35" s="19">
        <v>11000</v>
      </c>
      <c r="F35" s="18">
        <v>1</v>
      </c>
      <c r="G35" s="20">
        <f t="shared" si="1"/>
        <v>11000</v>
      </c>
    </row>
    <row r="36" spans="1:7" ht="18" customHeight="1">
      <c r="A36" s="17">
        <v>18</v>
      </c>
      <c r="B36" s="18" t="s">
        <v>19</v>
      </c>
      <c r="C36" s="18" t="s">
        <v>71</v>
      </c>
      <c r="D36" s="18" t="s">
        <v>72</v>
      </c>
      <c r="E36" s="19">
        <v>30000</v>
      </c>
      <c r="F36" s="18">
        <v>1</v>
      </c>
      <c r="G36" s="20">
        <f t="shared" si="1"/>
        <v>30000</v>
      </c>
    </row>
    <row r="37" spans="1:7" ht="18" customHeight="1">
      <c r="A37" s="17">
        <v>19</v>
      </c>
      <c r="B37" s="18" t="s">
        <v>20</v>
      </c>
      <c r="C37" s="18" t="s">
        <v>73</v>
      </c>
      <c r="D37" s="18" t="s">
        <v>74</v>
      </c>
      <c r="E37" s="19">
        <v>5000</v>
      </c>
      <c r="F37" s="18">
        <v>1</v>
      </c>
      <c r="G37" s="20">
        <f t="shared" si="1"/>
        <v>5000</v>
      </c>
    </row>
    <row r="38" spans="1:7" ht="18" customHeight="1">
      <c r="A38" s="17">
        <v>20</v>
      </c>
      <c r="B38" s="18" t="s">
        <v>20</v>
      </c>
      <c r="C38" s="18" t="s">
        <v>75</v>
      </c>
      <c r="D38" s="18" t="s">
        <v>76</v>
      </c>
      <c r="E38" s="19">
        <f>SUM(G19:G37)*0.1</f>
        <v>50000</v>
      </c>
      <c r="F38" s="18">
        <v>1</v>
      </c>
      <c r="G38" s="20">
        <f t="shared" si="1"/>
        <v>50000</v>
      </c>
    </row>
    <row r="39" spans="1:7" ht="18" customHeight="1">
      <c r="A39" s="23" t="s">
        <v>13</v>
      </c>
      <c r="B39" s="24" t="s">
        <v>14</v>
      </c>
      <c r="C39" s="25"/>
      <c r="D39" s="25"/>
      <c r="E39" s="26"/>
      <c r="F39" s="27"/>
      <c r="G39" s="20">
        <f>SUM(G19:G38)</f>
        <v>550000</v>
      </c>
    </row>
    <row r="40" spans="1:7" ht="18" customHeight="1">
      <c r="E40" s="14"/>
      <c r="G40" s="14"/>
    </row>
    <row r="41" spans="1:7" ht="18" customHeight="1">
      <c r="A41" s="13" t="s">
        <v>22</v>
      </c>
      <c r="E41" s="14"/>
      <c r="G41" s="14"/>
    </row>
    <row r="42" spans="1:7" ht="18" customHeight="1">
      <c r="A42" s="23" t="s">
        <v>13</v>
      </c>
      <c r="B42" s="24" t="s">
        <v>23</v>
      </c>
      <c r="C42" s="25"/>
      <c r="D42" s="25"/>
      <c r="E42" s="26"/>
      <c r="F42" s="27"/>
      <c r="G42" s="28">
        <f>G15-G39</f>
        <v>100000</v>
      </c>
    </row>
    <row r="43" spans="1:7" ht="18" customHeight="1">
      <c r="E43" s="14"/>
      <c r="G43" s="14"/>
    </row>
    <row r="44" spans="1:7" ht="18" customHeight="1">
      <c r="E44" s="14"/>
      <c r="G44" s="14"/>
    </row>
    <row r="45" spans="1:7" ht="18" customHeight="1">
      <c r="E45" s="14"/>
      <c r="G45" s="14"/>
    </row>
    <row r="46" spans="1:7" ht="18" customHeight="1">
      <c r="E46" s="14"/>
      <c r="G46" s="14"/>
    </row>
    <row r="47" spans="1:7" ht="18" customHeight="1">
      <c r="E47" s="14"/>
      <c r="G47" s="14"/>
    </row>
    <row r="48" spans="1:7" ht="18" customHeight="1">
      <c r="E48" s="14"/>
      <c r="G48" s="14"/>
    </row>
    <row r="49" spans="5:7" ht="18" customHeight="1">
      <c r="E49" s="14"/>
      <c r="G49" s="14"/>
    </row>
    <row r="50" spans="5:7" ht="18" customHeight="1">
      <c r="E50" s="14"/>
      <c r="G50" s="14"/>
    </row>
    <row r="51" spans="5:7" ht="18" customHeight="1">
      <c r="E51" s="14"/>
      <c r="G51" s="14"/>
    </row>
    <row r="52" spans="5:7" ht="18" customHeight="1">
      <c r="E52" s="14"/>
      <c r="G52" s="14"/>
    </row>
    <row r="53" spans="5:7" ht="18" customHeight="1">
      <c r="E53" s="14"/>
      <c r="G53" s="14"/>
    </row>
    <row r="54" spans="5:7" ht="18" customHeight="1">
      <c r="E54" s="14"/>
      <c r="G54" s="14"/>
    </row>
    <row r="55" spans="5:7" ht="18" customHeight="1">
      <c r="E55" s="14"/>
      <c r="G55" s="14"/>
    </row>
    <row r="56" spans="5:7" ht="18" customHeight="1">
      <c r="E56" s="14"/>
      <c r="G56" s="14"/>
    </row>
    <row r="57" spans="5:7" ht="18" customHeight="1">
      <c r="E57" s="14"/>
      <c r="G57" s="14"/>
    </row>
    <row r="58" spans="5:7" ht="18" customHeight="1">
      <c r="E58" s="14"/>
      <c r="G58" s="14"/>
    </row>
    <row r="59" spans="5:7" ht="18" customHeight="1">
      <c r="E59" s="14"/>
      <c r="G59" s="14"/>
    </row>
    <row r="60" spans="5:7" ht="18" customHeight="1">
      <c r="E60" s="14"/>
      <c r="G60" s="14"/>
    </row>
    <row r="61" spans="5:7" ht="18" customHeight="1">
      <c r="E61" s="14"/>
      <c r="G61" s="14"/>
    </row>
    <row r="62" spans="5:7" ht="18" customHeight="1">
      <c r="E62" s="14"/>
      <c r="G62" s="14"/>
    </row>
    <row r="63" spans="5:7" ht="18" customHeight="1">
      <c r="E63" s="14"/>
      <c r="G63" s="14"/>
    </row>
    <row r="64" spans="5:7" ht="18" customHeight="1">
      <c r="E64" s="14"/>
      <c r="G64" s="14"/>
    </row>
    <row r="65" spans="5:7" ht="18" customHeight="1">
      <c r="E65" s="14"/>
      <c r="G65" s="14"/>
    </row>
    <row r="66" spans="5:7" ht="18" customHeight="1">
      <c r="E66" s="14"/>
      <c r="G66" s="14"/>
    </row>
    <row r="67" spans="5:7" ht="18" customHeight="1">
      <c r="E67" s="14"/>
      <c r="G67" s="14"/>
    </row>
    <row r="68" spans="5:7" ht="18" customHeight="1">
      <c r="E68" s="14"/>
      <c r="G68" s="14"/>
    </row>
    <row r="69" spans="5:7" ht="18" customHeight="1">
      <c r="E69" s="14"/>
      <c r="G69" s="14"/>
    </row>
    <row r="70" spans="5:7" ht="18" customHeight="1">
      <c r="E70" s="14"/>
      <c r="G70" s="14"/>
    </row>
    <row r="71" spans="5:7" ht="18" customHeight="1">
      <c r="E71" s="14"/>
      <c r="G71" s="14"/>
    </row>
    <row r="72" spans="5:7" ht="18" customHeight="1">
      <c r="E72" s="14"/>
      <c r="G72" s="14"/>
    </row>
    <row r="73" spans="5:7" ht="18" customHeight="1">
      <c r="E73" s="14"/>
      <c r="G73" s="14"/>
    </row>
    <row r="74" spans="5:7" ht="18" customHeight="1">
      <c r="E74" s="14"/>
      <c r="G74" s="14"/>
    </row>
    <row r="75" spans="5:7" ht="18" customHeight="1">
      <c r="E75" s="14"/>
      <c r="G75" s="14"/>
    </row>
    <row r="76" spans="5:7" ht="18" customHeight="1">
      <c r="E76" s="14"/>
      <c r="G76" s="14"/>
    </row>
    <row r="77" spans="5:7" ht="18" customHeight="1">
      <c r="E77" s="14"/>
      <c r="G77" s="14"/>
    </row>
    <row r="78" spans="5:7" ht="18" customHeight="1">
      <c r="E78" s="14"/>
      <c r="G78" s="14"/>
    </row>
    <row r="79" spans="5:7" ht="18" customHeight="1">
      <c r="E79" s="14"/>
      <c r="G79" s="14"/>
    </row>
    <row r="80" spans="5:7" ht="18" customHeight="1">
      <c r="E80" s="14"/>
      <c r="G80" s="14"/>
    </row>
    <row r="81" spans="5:7" ht="18" customHeight="1">
      <c r="E81" s="14"/>
      <c r="G81" s="14"/>
    </row>
    <row r="82" spans="5:7" ht="18" customHeight="1">
      <c r="E82" s="14"/>
      <c r="G82" s="14"/>
    </row>
    <row r="83" spans="5:7" ht="18" customHeight="1">
      <c r="E83" s="14"/>
      <c r="G83" s="14"/>
    </row>
    <row r="84" spans="5:7" ht="18" customHeight="1">
      <c r="E84" s="14"/>
      <c r="G84" s="14"/>
    </row>
    <row r="85" spans="5:7" ht="18" customHeight="1">
      <c r="E85" s="14"/>
      <c r="G85" s="14"/>
    </row>
    <row r="86" spans="5:7" ht="18" customHeight="1">
      <c r="E86" s="14"/>
      <c r="G86" s="14"/>
    </row>
    <row r="87" spans="5:7" ht="18" customHeight="1">
      <c r="E87" s="14"/>
      <c r="G87" s="14"/>
    </row>
    <row r="88" spans="5:7" ht="18" customHeight="1">
      <c r="E88" s="14"/>
      <c r="G88" s="14"/>
    </row>
    <row r="89" spans="5:7" ht="18" customHeight="1">
      <c r="E89" s="14"/>
      <c r="G89" s="14"/>
    </row>
    <row r="90" spans="5:7" ht="18" customHeight="1">
      <c r="E90" s="14"/>
      <c r="G90" s="14"/>
    </row>
    <row r="91" spans="5:7" ht="18" customHeight="1">
      <c r="E91" s="14"/>
      <c r="G91" s="14"/>
    </row>
    <row r="92" spans="5:7" ht="18" customHeight="1">
      <c r="E92" s="14"/>
      <c r="G92" s="14"/>
    </row>
    <row r="93" spans="5:7" ht="18" customHeight="1">
      <c r="E93" s="14"/>
      <c r="G93" s="14"/>
    </row>
    <row r="94" spans="5:7" ht="18" customHeight="1">
      <c r="E94" s="14"/>
      <c r="G94" s="14"/>
    </row>
    <row r="95" spans="5:7" ht="18" customHeight="1">
      <c r="E95" s="14"/>
      <c r="G95" s="14"/>
    </row>
    <row r="96" spans="5:7" ht="18" customHeight="1">
      <c r="E96" s="14"/>
      <c r="G96" s="14"/>
    </row>
    <row r="97" spans="5:7" ht="18" customHeight="1">
      <c r="E97" s="14"/>
      <c r="G97" s="14"/>
    </row>
    <row r="98" spans="5:7" ht="18" customHeight="1">
      <c r="E98" s="14"/>
      <c r="G98" s="14"/>
    </row>
    <row r="99" spans="5:7" ht="18" customHeight="1">
      <c r="E99" s="14"/>
      <c r="G99" s="14"/>
    </row>
    <row r="100" spans="5:7" ht="18" customHeight="1">
      <c r="E100" s="14"/>
      <c r="G100" s="14"/>
    </row>
    <row r="101" spans="5:7" ht="18" customHeight="1">
      <c r="E101" s="14"/>
      <c r="G101" s="14"/>
    </row>
    <row r="102" spans="5:7" ht="18" customHeight="1">
      <c r="E102" s="14"/>
      <c r="G102" s="14"/>
    </row>
    <row r="103" spans="5:7" ht="18" customHeight="1">
      <c r="E103" s="14"/>
      <c r="G103" s="14"/>
    </row>
    <row r="104" spans="5:7" ht="18" customHeight="1">
      <c r="E104" s="14"/>
      <c r="G104" s="14"/>
    </row>
    <row r="105" spans="5:7" ht="18" customHeight="1">
      <c r="E105" s="14"/>
      <c r="G105" s="14"/>
    </row>
    <row r="106" spans="5:7" ht="18" customHeight="1">
      <c r="E106" s="14"/>
      <c r="G106" s="14"/>
    </row>
    <row r="107" spans="5:7" ht="18" customHeight="1">
      <c r="E107" s="14"/>
      <c r="G107" s="14"/>
    </row>
    <row r="108" spans="5:7" ht="18" customHeight="1">
      <c r="E108" s="14"/>
      <c r="G108" s="14"/>
    </row>
    <row r="109" spans="5:7" ht="18" customHeight="1">
      <c r="E109" s="14"/>
      <c r="G109" s="14"/>
    </row>
    <row r="110" spans="5:7" ht="18" customHeight="1">
      <c r="E110" s="14"/>
      <c r="G110" s="14"/>
    </row>
    <row r="111" spans="5:7" ht="18" customHeight="1">
      <c r="E111" s="14"/>
      <c r="G111" s="14"/>
    </row>
    <row r="112" spans="5:7" ht="18" customHeight="1">
      <c r="E112" s="14"/>
      <c r="G112" s="14"/>
    </row>
    <row r="113" spans="5:7" ht="18" customHeight="1">
      <c r="E113" s="14"/>
      <c r="G113" s="14"/>
    </row>
    <row r="114" spans="5:7" ht="18" customHeight="1">
      <c r="E114" s="14"/>
      <c r="G114" s="14"/>
    </row>
    <row r="115" spans="5:7" ht="18" customHeight="1">
      <c r="E115" s="14"/>
      <c r="G115" s="14"/>
    </row>
    <row r="116" spans="5:7" ht="18" customHeight="1">
      <c r="E116" s="14"/>
      <c r="G116" s="14"/>
    </row>
    <row r="117" spans="5:7" ht="18" customHeight="1">
      <c r="E117" s="14"/>
      <c r="G117" s="14"/>
    </row>
    <row r="118" spans="5:7" ht="18" customHeight="1">
      <c r="E118" s="14"/>
      <c r="G118" s="14"/>
    </row>
    <row r="119" spans="5:7" ht="18" customHeight="1">
      <c r="E119" s="14"/>
      <c r="G119" s="14"/>
    </row>
    <row r="120" spans="5:7" ht="18" customHeight="1">
      <c r="E120" s="14"/>
      <c r="G120" s="14"/>
    </row>
    <row r="121" spans="5:7" ht="18" customHeight="1">
      <c r="E121" s="14"/>
      <c r="G121" s="14"/>
    </row>
    <row r="122" spans="5:7" ht="18" customHeight="1">
      <c r="E122" s="14"/>
      <c r="G122" s="14"/>
    </row>
    <row r="123" spans="5:7" ht="18" customHeight="1">
      <c r="E123" s="14"/>
      <c r="G123" s="14"/>
    </row>
    <row r="124" spans="5:7" ht="18" customHeight="1">
      <c r="E124" s="14"/>
      <c r="G124" s="14"/>
    </row>
    <row r="125" spans="5:7" ht="18" customHeight="1">
      <c r="E125" s="14"/>
      <c r="G125" s="14"/>
    </row>
    <row r="126" spans="5:7" ht="18" customHeight="1">
      <c r="E126" s="14"/>
      <c r="G126" s="14"/>
    </row>
    <row r="127" spans="5:7" ht="18" customHeight="1">
      <c r="E127" s="14"/>
      <c r="G127" s="14"/>
    </row>
    <row r="128" spans="5:7" ht="18" customHeight="1">
      <c r="E128" s="14"/>
      <c r="G128" s="14"/>
    </row>
    <row r="129" spans="5:7" ht="18" customHeight="1">
      <c r="E129" s="14"/>
      <c r="G129" s="14"/>
    </row>
    <row r="130" spans="5:7" ht="18" customHeight="1">
      <c r="E130" s="14"/>
      <c r="G130" s="14"/>
    </row>
    <row r="131" spans="5:7" ht="18" customHeight="1">
      <c r="E131" s="14"/>
      <c r="G131" s="14"/>
    </row>
    <row r="132" spans="5:7" ht="18" customHeight="1">
      <c r="E132" s="14"/>
      <c r="G132" s="14"/>
    </row>
    <row r="133" spans="5:7" ht="18" customHeight="1">
      <c r="E133" s="14"/>
      <c r="G133" s="14"/>
    </row>
    <row r="134" spans="5:7" ht="18" customHeight="1">
      <c r="E134" s="14"/>
      <c r="G134" s="14"/>
    </row>
    <row r="135" spans="5:7" ht="18" customHeight="1">
      <c r="E135" s="14"/>
      <c r="G135" s="14"/>
    </row>
    <row r="136" spans="5:7" ht="18" customHeight="1">
      <c r="E136" s="14"/>
      <c r="G136" s="14"/>
    </row>
    <row r="137" spans="5:7" ht="18" customHeight="1">
      <c r="E137" s="14"/>
      <c r="G137" s="14"/>
    </row>
    <row r="138" spans="5:7" ht="18" customHeight="1">
      <c r="E138" s="14"/>
      <c r="G138" s="14"/>
    </row>
    <row r="139" spans="5:7" ht="18" customHeight="1">
      <c r="E139" s="14"/>
      <c r="G139" s="14"/>
    </row>
    <row r="140" spans="5:7" ht="18" customHeight="1">
      <c r="E140" s="14"/>
      <c r="G140" s="14"/>
    </row>
    <row r="141" spans="5:7" ht="18" customHeight="1">
      <c r="E141" s="14"/>
      <c r="G141" s="14"/>
    </row>
    <row r="142" spans="5:7" ht="18" customHeight="1">
      <c r="E142" s="14"/>
      <c r="G142" s="14"/>
    </row>
    <row r="143" spans="5:7" ht="18" customHeight="1">
      <c r="E143" s="14"/>
      <c r="G143" s="14"/>
    </row>
    <row r="144" spans="5:7" ht="18" customHeight="1">
      <c r="E144" s="14"/>
      <c r="G144" s="14"/>
    </row>
    <row r="145" spans="5:7" ht="18" customHeight="1">
      <c r="E145" s="14"/>
      <c r="G145" s="14"/>
    </row>
    <row r="146" spans="5:7" ht="18" customHeight="1">
      <c r="E146" s="14"/>
      <c r="G146" s="14"/>
    </row>
    <row r="147" spans="5:7" ht="18" customHeight="1">
      <c r="E147" s="14"/>
      <c r="G147" s="14"/>
    </row>
    <row r="148" spans="5:7" ht="18" customHeight="1">
      <c r="E148" s="14"/>
      <c r="G148" s="14"/>
    </row>
    <row r="149" spans="5:7" ht="18" customHeight="1">
      <c r="E149" s="14"/>
      <c r="G149" s="14"/>
    </row>
    <row r="150" spans="5:7" ht="18" customHeight="1">
      <c r="E150" s="14"/>
      <c r="G150" s="14"/>
    </row>
    <row r="151" spans="5:7" ht="18" customHeight="1">
      <c r="E151" s="14"/>
      <c r="G151" s="14"/>
    </row>
    <row r="152" spans="5:7" ht="18" customHeight="1">
      <c r="E152" s="14"/>
      <c r="G152" s="14"/>
    </row>
    <row r="153" spans="5:7" ht="18" customHeight="1">
      <c r="E153" s="14"/>
      <c r="G153" s="14"/>
    </row>
    <row r="154" spans="5:7" ht="18" customHeight="1">
      <c r="E154" s="14"/>
      <c r="G154" s="14"/>
    </row>
    <row r="155" spans="5:7" ht="18" customHeight="1">
      <c r="E155" s="14"/>
      <c r="G155" s="14"/>
    </row>
    <row r="156" spans="5:7" ht="18" customHeight="1">
      <c r="E156" s="14"/>
      <c r="G156" s="14"/>
    </row>
    <row r="157" spans="5:7" ht="18" customHeight="1">
      <c r="E157" s="14"/>
      <c r="G157" s="14"/>
    </row>
    <row r="158" spans="5:7" ht="18" customHeight="1">
      <c r="E158" s="14"/>
      <c r="G158" s="14"/>
    </row>
    <row r="159" spans="5:7" ht="18" customHeight="1">
      <c r="E159" s="14"/>
      <c r="G159" s="14"/>
    </row>
    <row r="160" spans="5:7" ht="18" customHeight="1">
      <c r="E160" s="14"/>
      <c r="G160" s="14"/>
    </row>
    <row r="161" spans="5:7" ht="18" customHeight="1">
      <c r="E161" s="14"/>
      <c r="G161" s="14"/>
    </row>
    <row r="162" spans="5:7" ht="18" customHeight="1">
      <c r="E162" s="14"/>
      <c r="G162" s="14"/>
    </row>
    <row r="163" spans="5:7" ht="18" customHeight="1">
      <c r="E163" s="14"/>
      <c r="G163" s="14"/>
    </row>
    <row r="164" spans="5:7" ht="18" customHeight="1">
      <c r="E164" s="14"/>
      <c r="G164" s="14"/>
    </row>
    <row r="165" spans="5:7" ht="18" customHeight="1">
      <c r="E165" s="14"/>
      <c r="G165" s="14"/>
    </row>
    <row r="166" spans="5:7" ht="18" customHeight="1">
      <c r="E166" s="14"/>
      <c r="G166" s="14"/>
    </row>
    <row r="167" spans="5:7" ht="18" customHeight="1">
      <c r="E167" s="14"/>
      <c r="G167" s="14"/>
    </row>
    <row r="168" spans="5:7" ht="18" customHeight="1">
      <c r="E168" s="14"/>
      <c r="G168" s="14"/>
    </row>
    <row r="169" spans="5:7" ht="18" customHeight="1">
      <c r="E169" s="14"/>
      <c r="G169" s="14"/>
    </row>
    <row r="170" spans="5:7" ht="18" customHeight="1">
      <c r="E170" s="14"/>
      <c r="G170" s="14"/>
    </row>
    <row r="171" spans="5:7" ht="18" customHeight="1">
      <c r="E171" s="14"/>
      <c r="G171" s="14"/>
    </row>
    <row r="172" spans="5:7" ht="18" customHeight="1">
      <c r="E172" s="14"/>
      <c r="G172" s="14"/>
    </row>
    <row r="173" spans="5:7" ht="18" customHeight="1">
      <c r="E173" s="14"/>
      <c r="G173" s="14"/>
    </row>
    <row r="174" spans="5:7" ht="18" customHeight="1">
      <c r="E174" s="14"/>
      <c r="G174" s="14"/>
    </row>
    <row r="175" spans="5:7" ht="18" customHeight="1">
      <c r="E175" s="14"/>
      <c r="G175" s="14"/>
    </row>
    <row r="176" spans="5:7" ht="18" customHeight="1">
      <c r="E176" s="14"/>
      <c r="G176" s="14"/>
    </row>
    <row r="177" spans="5:7" ht="18" customHeight="1">
      <c r="E177" s="14"/>
      <c r="G177" s="14"/>
    </row>
    <row r="178" spans="5:7" ht="18" customHeight="1">
      <c r="E178" s="14"/>
      <c r="G178" s="14"/>
    </row>
    <row r="179" spans="5:7" ht="18" customHeight="1">
      <c r="E179" s="14"/>
      <c r="G179" s="14"/>
    </row>
    <row r="180" spans="5:7" ht="18" customHeight="1">
      <c r="E180" s="14"/>
      <c r="G180" s="14"/>
    </row>
    <row r="181" spans="5:7" ht="18" customHeight="1">
      <c r="E181" s="14"/>
      <c r="G181" s="14"/>
    </row>
    <row r="182" spans="5:7" ht="18" customHeight="1">
      <c r="E182" s="14"/>
      <c r="G182" s="14"/>
    </row>
    <row r="183" spans="5:7" ht="18" customHeight="1">
      <c r="E183" s="14"/>
      <c r="G183" s="14"/>
    </row>
    <row r="184" spans="5:7" ht="18" customHeight="1">
      <c r="E184" s="14"/>
      <c r="G184" s="14"/>
    </row>
    <row r="185" spans="5:7" ht="18" customHeight="1">
      <c r="E185" s="14"/>
      <c r="G185" s="14"/>
    </row>
    <row r="186" spans="5:7" ht="18" customHeight="1">
      <c r="E186" s="14"/>
      <c r="G186" s="14"/>
    </row>
    <row r="187" spans="5:7" ht="18" customHeight="1">
      <c r="E187" s="14"/>
      <c r="G187" s="14"/>
    </row>
    <row r="188" spans="5:7" ht="18" customHeight="1">
      <c r="E188" s="14"/>
      <c r="G188" s="14"/>
    </row>
    <row r="189" spans="5:7" ht="18" customHeight="1">
      <c r="E189" s="14"/>
      <c r="G189" s="14"/>
    </row>
    <row r="190" spans="5:7" ht="18" customHeight="1">
      <c r="E190" s="14"/>
      <c r="G190" s="14"/>
    </row>
    <row r="191" spans="5:7" ht="18" customHeight="1">
      <c r="E191" s="14"/>
      <c r="G191" s="14"/>
    </row>
    <row r="192" spans="5:7" ht="18" customHeight="1">
      <c r="E192" s="14"/>
      <c r="G192" s="14"/>
    </row>
    <row r="193" spans="5:7" ht="18" customHeight="1">
      <c r="E193" s="14"/>
      <c r="G193" s="14"/>
    </row>
    <row r="194" spans="5:7" ht="18" customHeight="1">
      <c r="E194" s="14"/>
      <c r="G194" s="14"/>
    </row>
    <row r="195" spans="5:7" ht="18" customHeight="1">
      <c r="E195" s="14"/>
      <c r="G195" s="14"/>
    </row>
    <row r="196" spans="5:7" ht="18" customHeight="1">
      <c r="E196" s="14"/>
      <c r="G196" s="14"/>
    </row>
    <row r="197" spans="5:7" ht="18" customHeight="1">
      <c r="E197" s="14"/>
      <c r="G197" s="14"/>
    </row>
    <row r="198" spans="5:7" ht="18" customHeight="1">
      <c r="E198" s="14"/>
      <c r="G198" s="14"/>
    </row>
    <row r="199" spans="5:7" ht="18" customHeight="1">
      <c r="E199" s="14"/>
      <c r="G199" s="14"/>
    </row>
    <row r="200" spans="5:7" ht="18" customHeight="1">
      <c r="E200" s="14"/>
      <c r="G200" s="14"/>
    </row>
    <row r="201" spans="5:7" ht="18" customHeight="1">
      <c r="E201" s="14"/>
      <c r="G201" s="14"/>
    </row>
    <row r="202" spans="5:7" ht="18" customHeight="1">
      <c r="E202" s="14"/>
      <c r="G202" s="14"/>
    </row>
    <row r="203" spans="5:7" ht="18" customHeight="1">
      <c r="E203" s="14"/>
      <c r="G203" s="14"/>
    </row>
    <row r="204" spans="5:7" ht="18" customHeight="1">
      <c r="E204" s="14"/>
      <c r="G204" s="14"/>
    </row>
    <row r="205" spans="5:7" ht="18" customHeight="1">
      <c r="E205" s="14"/>
      <c r="G205" s="14"/>
    </row>
    <row r="206" spans="5:7" ht="18" customHeight="1">
      <c r="E206" s="14"/>
      <c r="G206" s="14"/>
    </row>
    <row r="207" spans="5:7" ht="18" customHeight="1">
      <c r="E207" s="14"/>
      <c r="G207" s="14"/>
    </row>
    <row r="208" spans="5:7" ht="18" customHeight="1">
      <c r="E208" s="14"/>
      <c r="G208" s="14"/>
    </row>
    <row r="209" spans="5:7" ht="18" customHeight="1">
      <c r="E209" s="14"/>
      <c r="G209" s="14"/>
    </row>
    <row r="210" spans="5:7" ht="18" customHeight="1">
      <c r="E210" s="14"/>
      <c r="G210" s="14"/>
    </row>
    <row r="211" spans="5:7" ht="18" customHeight="1">
      <c r="E211" s="14"/>
      <c r="G211" s="14"/>
    </row>
    <row r="212" spans="5:7" ht="18" customHeight="1">
      <c r="E212" s="14"/>
      <c r="G212" s="14"/>
    </row>
    <row r="213" spans="5:7" ht="18" customHeight="1">
      <c r="E213" s="14"/>
      <c r="G213" s="14"/>
    </row>
    <row r="214" spans="5:7" ht="18" customHeight="1">
      <c r="E214" s="14"/>
      <c r="G214" s="14"/>
    </row>
    <row r="215" spans="5:7" ht="18" customHeight="1">
      <c r="E215" s="14"/>
      <c r="G215" s="14"/>
    </row>
    <row r="216" spans="5:7" ht="18" customHeight="1">
      <c r="E216" s="14"/>
      <c r="G216" s="14"/>
    </row>
    <row r="217" spans="5:7" ht="18" customHeight="1">
      <c r="E217" s="14"/>
      <c r="G217" s="14"/>
    </row>
    <row r="218" spans="5:7" ht="18" customHeight="1">
      <c r="E218" s="14"/>
      <c r="G218" s="14"/>
    </row>
    <row r="219" spans="5:7" ht="18" customHeight="1">
      <c r="E219" s="14"/>
      <c r="G219" s="14"/>
    </row>
    <row r="220" spans="5:7" ht="18" customHeight="1">
      <c r="E220" s="14"/>
      <c r="G220" s="14"/>
    </row>
    <row r="221" spans="5:7" ht="18" customHeight="1">
      <c r="E221" s="14"/>
      <c r="G221" s="14"/>
    </row>
    <row r="222" spans="5:7" ht="18" customHeight="1">
      <c r="E222" s="14"/>
      <c r="G222" s="14"/>
    </row>
    <row r="223" spans="5:7" ht="18" customHeight="1">
      <c r="E223" s="14"/>
      <c r="G223" s="14"/>
    </row>
    <row r="224" spans="5:7" ht="18" customHeight="1">
      <c r="E224" s="14"/>
      <c r="G224" s="14"/>
    </row>
    <row r="225" spans="5:7" ht="18" customHeight="1">
      <c r="E225" s="14"/>
      <c r="G225" s="14"/>
    </row>
    <row r="226" spans="5:7" ht="18" customHeight="1">
      <c r="E226" s="14"/>
      <c r="G226" s="14"/>
    </row>
    <row r="227" spans="5:7" ht="18" customHeight="1">
      <c r="E227" s="14"/>
      <c r="G227" s="14"/>
    </row>
    <row r="228" spans="5:7" ht="18" customHeight="1">
      <c r="E228" s="14"/>
      <c r="G228" s="14"/>
    </row>
    <row r="229" spans="5:7" ht="18" customHeight="1">
      <c r="E229" s="14"/>
      <c r="G229" s="14"/>
    </row>
    <row r="230" spans="5:7" ht="18" customHeight="1">
      <c r="E230" s="14"/>
      <c r="G230" s="14"/>
    </row>
    <row r="231" spans="5:7" ht="18" customHeight="1">
      <c r="E231" s="14"/>
      <c r="G231" s="14"/>
    </row>
    <row r="232" spans="5:7" ht="18" customHeight="1">
      <c r="E232" s="14"/>
      <c r="G232" s="14"/>
    </row>
    <row r="233" spans="5:7" ht="18" customHeight="1">
      <c r="E233" s="14"/>
      <c r="G233" s="14"/>
    </row>
    <row r="234" spans="5:7" ht="18" customHeight="1">
      <c r="E234" s="14"/>
      <c r="G234" s="14"/>
    </row>
    <row r="235" spans="5:7" ht="18" customHeight="1">
      <c r="E235" s="14"/>
      <c r="G235" s="14"/>
    </row>
    <row r="236" spans="5:7" ht="18" customHeight="1">
      <c r="E236" s="14"/>
      <c r="G236" s="14"/>
    </row>
    <row r="237" spans="5:7" ht="18" customHeight="1">
      <c r="E237" s="14"/>
      <c r="G237" s="14"/>
    </row>
    <row r="238" spans="5:7" ht="18" customHeight="1">
      <c r="E238" s="14"/>
      <c r="G238" s="14"/>
    </row>
    <row r="239" spans="5:7" ht="18" customHeight="1">
      <c r="E239" s="14"/>
      <c r="G239" s="14"/>
    </row>
    <row r="240" spans="5:7" ht="18" customHeight="1">
      <c r="E240" s="14"/>
      <c r="G240" s="14"/>
    </row>
    <row r="241" spans="5:7" ht="18" customHeight="1">
      <c r="E241" s="14"/>
      <c r="G241" s="14"/>
    </row>
    <row r="242" spans="5:7" ht="18" customHeight="1">
      <c r="E242" s="14"/>
      <c r="G242" s="14"/>
    </row>
    <row r="243" spans="5:7" ht="18" customHeight="1">
      <c r="E243" s="14"/>
      <c r="G243" s="14"/>
    </row>
    <row r="244" spans="5:7" ht="18" customHeight="1">
      <c r="E244" s="14"/>
      <c r="G244" s="14"/>
    </row>
    <row r="245" spans="5:7" ht="18" customHeight="1">
      <c r="E245" s="14"/>
      <c r="G245" s="14"/>
    </row>
    <row r="246" spans="5:7" ht="18" customHeight="1">
      <c r="E246" s="14"/>
      <c r="G246" s="14"/>
    </row>
    <row r="247" spans="5:7" ht="18" customHeight="1">
      <c r="E247" s="14"/>
      <c r="G247" s="14"/>
    </row>
    <row r="248" spans="5:7" ht="18" customHeight="1">
      <c r="E248" s="14"/>
      <c r="G248" s="14"/>
    </row>
    <row r="249" spans="5:7" ht="18" customHeight="1">
      <c r="E249" s="14"/>
      <c r="G249" s="14"/>
    </row>
    <row r="250" spans="5:7" ht="18" customHeight="1">
      <c r="E250" s="14"/>
      <c r="G250" s="14"/>
    </row>
    <row r="251" spans="5:7" ht="18" customHeight="1">
      <c r="E251" s="14"/>
      <c r="G251" s="14"/>
    </row>
    <row r="252" spans="5:7" ht="18" customHeight="1">
      <c r="E252" s="14"/>
      <c r="G252" s="14"/>
    </row>
    <row r="253" spans="5:7" ht="18" customHeight="1">
      <c r="E253" s="14"/>
      <c r="G253" s="14"/>
    </row>
    <row r="254" spans="5:7" ht="18" customHeight="1">
      <c r="E254" s="14"/>
      <c r="G254" s="14"/>
    </row>
    <row r="255" spans="5:7" ht="18" customHeight="1">
      <c r="E255" s="14"/>
      <c r="G255" s="14"/>
    </row>
    <row r="256" spans="5:7" ht="18" customHeight="1">
      <c r="E256" s="14"/>
      <c r="G256" s="14"/>
    </row>
    <row r="257" spans="5:7" ht="18" customHeight="1">
      <c r="E257" s="14"/>
      <c r="G257" s="14"/>
    </row>
    <row r="258" spans="5:7" ht="18" customHeight="1">
      <c r="E258" s="14"/>
      <c r="G258" s="14"/>
    </row>
    <row r="259" spans="5:7" ht="18" customHeight="1">
      <c r="E259" s="14"/>
      <c r="G259" s="14"/>
    </row>
    <row r="260" spans="5:7" ht="18" customHeight="1">
      <c r="E260" s="14"/>
      <c r="G260" s="14"/>
    </row>
    <row r="261" spans="5:7" ht="18" customHeight="1">
      <c r="E261" s="14"/>
      <c r="G261" s="14"/>
    </row>
    <row r="262" spans="5:7" ht="18" customHeight="1">
      <c r="E262" s="14"/>
      <c r="G262" s="14"/>
    </row>
    <row r="263" spans="5:7" ht="18" customHeight="1">
      <c r="E263" s="14"/>
      <c r="G263" s="14"/>
    </row>
    <row r="264" spans="5:7" ht="18" customHeight="1">
      <c r="E264" s="14"/>
      <c r="G264" s="14"/>
    </row>
    <row r="265" spans="5:7" ht="18" customHeight="1">
      <c r="E265" s="14"/>
      <c r="G265" s="14"/>
    </row>
    <row r="266" spans="5:7" ht="18" customHeight="1">
      <c r="E266" s="14"/>
      <c r="G266" s="14"/>
    </row>
    <row r="267" spans="5:7" ht="18" customHeight="1">
      <c r="E267" s="14"/>
      <c r="G267" s="14"/>
    </row>
    <row r="268" spans="5:7" ht="18" customHeight="1">
      <c r="E268" s="14"/>
      <c r="G268" s="14"/>
    </row>
    <row r="269" spans="5:7" ht="18" customHeight="1">
      <c r="E269" s="14"/>
      <c r="G269" s="14"/>
    </row>
    <row r="270" spans="5:7" ht="18" customHeight="1">
      <c r="E270" s="14"/>
      <c r="G270" s="14"/>
    </row>
    <row r="271" spans="5:7" ht="18" customHeight="1">
      <c r="E271" s="14"/>
      <c r="G271" s="14"/>
    </row>
    <row r="272" spans="5:7" ht="18" customHeight="1">
      <c r="E272" s="14"/>
      <c r="G272" s="14"/>
    </row>
    <row r="273" spans="5:7" ht="18" customHeight="1">
      <c r="E273" s="14"/>
      <c r="G273" s="14"/>
    </row>
    <row r="274" spans="5:7" ht="18" customHeight="1">
      <c r="E274" s="14"/>
      <c r="G274" s="14"/>
    </row>
    <row r="275" spans="5:7" ht="18" customHeight="1">
      <c r="E275" s="14"/>
      <c r="G275" s="14"/>
    </row>
    <row r="276" spans="5:7" ht="18" customHeight="1">
      <c r="E276" s="14"/>
      <c r="G276" s="14"/>
    </row>
    <row r="277" spans="5:7" ht="18" customHeight="1">
      <c r="E277" s="14"/>
      <c r="G277" s="14"/>
    </row>
    <row r="278" spans="5:7" ht="18" customHeight="1">
      <c r="E278" s="14"/>
      <c r="G278" s="14"/>
    </row>
    <row r="279" spans="5:7" ht="18" customHeight="1">
      <c r="E279" s="14"/>
      <c r="G279" s="14"/>
    </row>
    <row r="280" spans="5:7" ht="18" customHeight="1">
      <c r="E280" s="14"/>
      <c r="G280" s="14"/>
    </row>
    <row r="281" spans="5:7" ht="18" customHeight="1">
      <c r="E281" s="14"/>
      <c r="G281" s="14"/>
    </row>
    <row r="282" spans="5:7" ht="18" customHeight="1">
      <c r="E282" s="14"/>
      <c r="G282" s="14"/>
    </row>
    <row r="283" spans="5:7" ht="18" customHeight="1">
      <c r="E283" s="14"/>
      <c r="G283" s="14"/>
    </row>
    <row r="284" spans="5:7" ht="18" customHeight="1">
      <c r="E284" s="14"/>
      <c r="G284" s="14"/>
    </row>
    <row r="285" spans="5:7" ht="18" customHeight="1">
      <c r="E285" s="14"/>
      <c r="G285" s="14"/>
    </row>
    <row r="286" spans="5:7" ht="18" customHeight="1">
      <c r="E286" s="14"/>
      <c r="G286" s="14"/>
    </row>
    <row r="287" spans="5:7" ht="18" customHeight="1">
      <c r="E287" s="14"/>
      <c r="G287" s="14"/>
    </row>
    <row r="288" spans="5:7" ht="18" customHeight="1">
      <c r="E288" s="14"/>
      <c r="G288" s="14"/>
    </row>
    <row r="289" spans="5:7" ht="18" customHeight="1">
      <c r="E289" s="14"/>
      <c r="G289" s="14"/>
    </row>
    <row r="290" spans="5:7" ht="18" customHeight="1">
      <c r="E290" s="14"/>
      <c r="G290" s="14"/>
    </row>
    <row r="291" spans="5:7" ht="18" customHeight="1">
      <c r="E291" s="14"/>
      <c r="G291" s="14"/>
    </row>
    <row r="292" spans="5:7" ht="18" customHeight="1">
      <c r="E292" s="14"/>
      <c r="G292" s="14"/>
    </row>
    <row r="293" spans="5:7" ht="18" customHeight="1">
      <c r="E293" s="14"/>
      <c r="G293" s="14"/>
    </row>
    <row r="294" spans="5:7" ht="18" customHeight="1">
      <c r="E294" s="14"/>
      <c r="G294" s="14"/>
    </row>
    <row r="295" spans="5:7" ht="18" customHeight="1">
      <c r="E295" s="14"/>
      <c r="G295" s="14"/>
    </row>
    <row r="296" spans="5:7" ht="18" customHeight="1">
      <c r="E296" s="14"/>
      <c r="G296" s="14"/>
    </row>
    <row r="297" spans="5:7" ht="18" customHeight="1">
      <c r="E297" s="14"/>
      <c r="G297" s="14"/>
    </row>
    <row r="298" spans="5:7" ht="18" customHeight="1">
      <c r="E298" s="14"/>
      <c r="G298" s="14"/>
    </row>
    <row r="299" spans="5:7" ht="18" customHeight="1">
      <c r="E299" s="14"/>
      <c r="G299" s="14"/>
    </row>
    <row r="300" spans="5:7" ht="18" customHeight="1">
      <c r="E300" s="14"/>
      <c r="G300" s="14"/>
    </row>
    <row r="301" spans="5:7" ht="18" customHeight="1">
      <c r="E301" s="14"/>
      <c r="G301" s="14"/>
    </row>
    <row r="302" spans="5:7" ht="18" customHeight="1">
      <c r="E302" s="14"/>
      <c r="G302" s="14"/>
    </row>
    <row r="303" spans="5:7" ht="18" customHeight="1">
      <c r="E303" s="14"/>
      <c r="G303" s="14"/>
    </row>
    <row r="304" spans="5:7" ht="18" customHeight="1">
      <c r="E304" s="14"/>
      <c r="G304" s="14"/>
    </row>
    <row r="305" spans="5:7" ht="18" customHeight="1">
      <c r="E305" s="14"/>
      <c r="G305" s="14"/>
    </row>
    <row r="306" spans="5:7" ht="18" customHeight="1">
      <c r="E306" s="14"/>
      <c r="G306" s="14"/>
    </row>
    <row r="307" spans="5:7" ht="18" customHeight="1">
      <c r="E307" s="14"/>
      <c r="G307" s="14"/>
    </row>
    <row r="308" spans="5:7" ht="18" customHeight="1">
      <c r="E308" s="14"/>
      <c r="G308" s="14"/>
    </row>
    <row r="309" spans="5:7" ht="18" customHeight="1">
      <c r="E309" s="14"/>
      <c r="G309" s="14"/>
    </row>
    <row r="310" spans="5:7" ht="18" customHeight="1">
      <c r="E310" s="14"/>
      <c r="G310" s="14"/>
    </row>
    <row r="311" spans="5:7" ht="18" customHeight="1">
      <c r="E311" s="14"/>
      <c r="G311" s="14"/>
    </row>
    <row r="312" spans="5:7" ht="18" customHeight="1">
      <c r="E312" s="14"/>
      <c r="G312" s="14"/>
    </row>
    <row r="313" spans="5:7" ht="18" customHeight="1">
      <c r="E313" s="14"/>
      <c r="G313" s="14"/>
    </row>
    <row r="314" spans="5:7" ht="18" customHeight="1">
      <c r="E314" s="14"/>
      <c r="G314" s="14"/>
    </row>
    <row r="315" spans="5:7" ht="18" customHeight="1">
      <c r="E315" s="14"/>
      <c r="G315" s="14"/>
    </row>
    <row r="316" spans="5:7" ht="18" customHeight="1">
      <c r="E316" s="14"/>
      <c r="G316" s="14"/>
    </row>
    <row r="317" spans="5:7" ht="18" customHeight="1">
      <c r="E317" s="14"/>
      <c r="G317" s="14"/>
    </row>
    <row r="318" spans="5:7" ht="18" customHeight="1">
      <c r="E318" s="14"/>
      <c r="G318" s="14"/>
    </row>
    <row r="319" spans="5:7" ht="18" customHeight="1">
      <c r="E319" s="14"/>
      <c r="G319" s="14"/>
    </row>
    <row r="320" spans="5:7" ht="18" customHeight="1">
      <c r="E320" s="14"/>
      <c r="G320" s="14"/>
    </row>
    <row r="321" spans="5:7" ht="18" customHeight="1">
      <c r="E321" s="14"/>
      <c r="G321" s="14"/>
    </row>
    <row r="322" spans="5:7" ht="18" customHeight="1">
      <c r="E322" s="14"/>
      <c r="G322" s="14"/>
    </row>
    <row r="323" spans="5:7" ht="18" customHeight="1">
      <c r="E323" s="14"/>
      <c r="G323" s="14"/>
    </row>
    <row r="324" spans="5:7" ht="18" customHeight="1">
      <c r="E324" s="14"/>
      <c r="G324" s="14"/>
    </row>
    <row r="325" spans="5:7" ht="18" customHeight="1">
      <c r="E325" s="14"/>
      <c r="G325" s="14"/>
    </row>
    <row r="326" spans="5:7" ht="18" customHeight="1">
      <c r="E326" s="14"/>
      <c r="G326" s="14"/>
    </row>
    <row r="327" spans="5:7" ht="18" customHeight="1">
      <c r="E327" s="14"/>
      <c r="G327" s="14"/>
    </row>
    <row r="328" spans="5:7" ht="18" customHeight="1">
      <c r="E328" s="14"/>
      <c r="G328" s="14"/>
    </row>
    <row r="329" spans="5:7" ht="18" customHeight="1">
      <c r="E329" s="14"/>
      <c r="G329" s="14"/>
    </row>
    <row r="330" spans="5:7" ht="18" customHeight="1">
      <c r="E330" s="14"/>
      <c r="G330" s="14"/>
    </row>
    <row r="331" spans="5:7" ht="18" customHeight="1">
      <c r="E331" s="14"/>
      <c r="G331" s="14"/>
    </row>
    <row r="332" spans="5:7" ht="18" customHeight="1">
      <c r="E332" s="14"/>
      <c r="G332" s="14"/>
    </row>
    <row r="333" spans="5:7" ht="18" customHeight="1">
      <c r="E333" s="14"/>
      <c r="G333" s="14"/>
    </row>
    <row r="334" spans="5:7" ht="18" customHeight="1">
      <c r="E334" s="14"/>
      <c r="G334" s="14"/>
    </row>
    <row r="335" spans="5:7" ht="18" customHeight="1">
      <c r="E335" s="14"/>
      <c r="G335" s="14"/>
    </row>
    <row r="336" spans="5:7" ht="18" customHeight="1">
      <c r="E336" s="14"/>
      <c r="G336" s="14"/>
    </row>
    <row r="337" spans="5:7" ht="18" customHeight="1">
      <c r="E337" s="14"/>
      <c r="G337" s="14"/>
    </row>
    <row r="338" spans="5:7" ht="18" customHeight="1">
      <c r="E338" s="14"/>
      <c r="G338" s="14"/>
    </row>
    <row r="339" spans="5:7" ht="18" customHeight="1">
      <c r="E339" s="14"/>
      <c r="G339" s="14"/>
    </row>
    <row r="340" spans="5:7" ht="18" customHeight="1">
      <c r="E340" s="14"/>
      <c r="G340" s="14"/>
    </row>
    <row r="341" spans="5:7" ht="18" customHeight="1">
      <c r="E341" s="14"/>
      <c r="G341" s="14"/>
    </row>
    <row r="342" spans="5:7" ht="18" customHeight="1">
      <c r="E342" s="14"/>
      <c r="G342" s="14"/>
    </row>
    <row r="343" spans="5:7" ht="18" customHeight="1">
      <c r="E343" s="14"/>
      <c r="G343" s="14"/>
    </row>
    <row r="344" spans="5:7" ht="18" customHeight="1">
      <c r="E344" s="14"/>
      <c r="G344" s="14"/>
    </row>
    <row r="345" spans="5:7" ht="18" customHeight="1">
      <c r="E345" s="14"/>
      <c r="G345" s="14"/>
    </row>
    <row r="346" spans="5:7" ht="18" customHeight="1">
      <c r="E346" s="14"/>
      <c r="G346" s="14"/>
    </row>
    <row r="347" spans="5:7" ht="18" customHeight="1">
      <c r="E347" s="14"/>
      <c r="G347" s="14"/>
    </row>
    <row r="348" spans="5:7" ht="18" customHeight="1">
      <c r="E348" s="14"/>
      <c r="G348" s="14"/>
    </row>
    <row r="349" spans="5:7" ht="18" customHeight="1">
      <c r="E349" s="14"/>
      <c r="G349" s="14"/>
    </row>
    <row r="350" spans="5:7" ht="18" customHeight="1">
      <c r="E350" s="14"/>
      <c r="G350" s="14"/>
    </row>
    <row r="351" spans="5:7" ht="18" customHeight="1">
      <c r="E351" s="14"/>
      <c r="G351" s="14"/>
    </row>
    <row r="352" spans="5:7" ht="18" customHeight="1">
      <c r="E352" s="14"/>
      <c r="G352" s="14"/>
    </row>
    <row r="353" spans="5:7" ht="18" customHeight="1">
      <c r="E353" s="14"/>
      <c r="G353" s="14"/>
    </row>
    <row r="354" spans="5:7" ht="18" customHeight="1">
      <c r="E354" s="14"/>
      <c r="G354" s="14"/>
    </row>
    <row r="355" spans="5:7" ht="18" customHeight="1">
      <c r="E355" s="14"/>
      <c r="G355" s="14"/>
    </row>
    <row r="356" spans="5:7" ht="18" customHeight="1">
      <c r="E356" s="14"/>
      <c r="G356" s="14"/>
    </row>
    <row r="357" spans="5:7" ht="18" customHeight="1">
      <c r="E357" s="14"/>
      <c r="G357" s="14"/>
    </row>
    <row r="358" spans="5:7" ht="18" customHeight="1">
      <c r="E358" s="14"/>
      <c r="G358" s="14"/>
    </row>
    <row r="359" spans="5:7" ht="18" customHeight="1">
      <c r="E359" s="14"/>
      <c r="G359" s="14"/>
    </row>
    <row r="360" spans="5:7" ht="18" customHeight="1">
      <c r="E360" s="14"/>
      <c r="G360" s="14"/>
    </row>
    <row r="361" spans="5:7" ht="18" customHeight="1">
      <c r="E361" s="14"/>
      <c r="G361" s="14"/>
    </row>
    <row r="362" spans="5:7" ht="18" customHeight="1">
      <c r="E362" s="14"/>
      <c r="G362" s="14"/>
    </row>
    <row r="363" spans="5:7" ht="18" customHeight="1">
      <c r="E363" s="14"/>
      <c r="G363" s="14"/>
    </row>
    <row r="364" spans="5:7" ht="18" customHeight="1">
      <c r="E364" s="14"/>
      <c r="G364" s="14"/>
    </row>
    <row r="365" spans="5:7" ht="18" customHeight="1">
      <c r="E365" s="14"/>
      <c r="G365" s="14"/>
    </row>
    <row r="366" spans="5:7" ht="18" customHeight="1">
      <c r="E366" s="14"/>
      <c r="G366" s="14"/>
    </row>
    <row r="367" spans="5:7" ht="18" customHeight="1">
      <c r="E367" s="14"/>
      <c r="G367" s="14"/>
    </row>
    <row r="368" spans="5:7" ht="18" customHeight="1">
      <c r="E368" s="14"/>
      <c r="G368" s="14"/>
    </row>
    <row r="369" spans="5:7" ht="18" customHeight="1">
      <c r="E369" s="14"/>
      <c r="G369" s="14"/>
    </row>
    <row r="370" spans="5:7" ht="18" customHeight="1">
      <c r="E370" s="14"/>
      <c r="G370" s="14"/>
    </row>
    <row r="371" spans="5:7" ht="18" customHeight="1">
      <c r="E371" s="14"/>
      <c r="G371" s="14"/>
    </row>
    <row r="372" spans="5:7" ht="18" customHeight="1">
      <c r="E372" s="14"/>
      <c r="G372" s="14"/>
    </row>
    <row r="373" spans="5:7" ht="18" customHeight="1">
      <c r="E373" s="14"/>
      <c r="G373" s="14"/>
    </row>
    <row r="374" spans="5:7" ht="18" customHeight="1">
      <c r="E374" s="14"/>
      <c r="G374" s="14"/>
    </row>
    <row r="375" spans="5:7" ht="18" customHeight="1">
      <c r="E375" s="14"/>
      <c r="G375" s="14"/>
    </row>
    <row r="376" spans="5:7" ht="18" customHeight="1">
      <c r="E376" s="14"/>
      <c r="G376" s="14"/>
    </row>
    <row r="377" spans="5:7" ht="18" customHeight="1">
      <c r="E377" s="14"/>
      <c r="G377" s="14"/>
    </row>
    <row r="378" spans="5:7" ht="18" customHeight="1">
      <c r="E378" s="14"/>
      <c r="G378" s="14"/>
    </row>
    <row r="379" spans="5:7" ht="18" customHeight="1">
      <c r="E379" s="14"/>
      <c r="G379" s="14"/>
    </row>
    <row r="380" spans="5:7" ht="18" customHeight="1">
      <c r="E380" s="14"/>
      <c r="G380" s="14"/>
    </row>
    <row r="381" spans="5:7" ht="18" customHeight="1">
      <c r="E381" s="14"/>
      <c r="G381" s="14"/>
    </row>
    <row r="382" spans="5:7" ht="18" customHeight="1">
      <c r="E382" s="14"/>
      <c r="G382" s="14"/>
    </row>
    <row r="383" spans="5:7" ht="18" customHeight="1">
      <c r="E383" s="14"/>
      <c r="G383" s="14"/>
    </row>
    <row r="384" spans="5:7" ht="18" customHeight="1">
      <c r="E384" s="14"/>
      <c r="G384" s="14"/>
    </row>
    <row r="385" spans="5:7" ht="18" customHeight="1">
      <c r="E385" s="14"/>
      <c r="G385" s="14"/>
    </row>
    <row r="386" spans="5:7" ht="18" customHeight="1">
      <c r="E386" s="14"/>
      <c r="G386" s="14"/>
    </row>
    <row r="387" spans="5:7" ht="18" customHeight="1">
      <c r="E387" s="14"/>
      <c r="G387" s="14"/>
    </row>
    <row r="388" spans="5:7" ht="18" customHeight="1">
      <c r="E388" s="14"/>
      <c r="G388" s="14"/>
    </row>
    <row r="389" spans="5:7" ht="18" customHeight="1">
      <c r="E389" s="14"/>
      <c r="G389" s="14"/>
    </row>
    <row r="390" spans="5:7" ht="18" customHeight="1">
      <c r="E390" s="14"/>
      <c r="G390" s="14"/>
    </row>
    <row r="391" spans="5:7" ht="18" customHeight="1">
      <c r="E391" s="14"/>
      <c r="G391" s="14"/>
    </row>
    <row r="392" spans="5:7" ht="18" customHeight="1">
      <c r="E392" s="14"/>
      <c r="G392" s="14"/>
    </row>
    <row r="393" spans="5:7" ht="18" customHeight="1">
      <c r="E393" s="14"/>
      <c r="G393" s="14"/>
    </row>
    <row r="394" spans="5:7" ht="18" customHeight="1">
      <c r="E394" s="14"/>
      <c r="G394" s="14"/>
    </row>
    <row r="395" spans="5:7" ht="18" customHeight="1">
      <c r="E395" s="14"/>
      <c r="G395" s="14"/>
    </row>
    <row r="396" spans="5:7" ht="18" customHeight="1">
      <c r="E396" s="14"/>
      <c r="G396" s="14"/>
    </row>
    <row r="397" spans="5:7" ht="18" customHeight="1">
      <c r="E397" s="14"/>
      <c r="G397" s="14"/>
    </row>
    <row r="398" spans="5:7" ht="18" customHeight="1">
      <c r="E398" s="14"/>
      <c r="G398" s="14"/>
    </row>
    <row r="399" spans="5:7" ht="18" customHeight="1">
      <c r="E399" s="14"/>
      <c r="G399" s="14"/>
    </row>
    <row r="400" spans="5:7" ht="18" customHeight="1">
      <c r="E400" s="14"/>
      <c r="G400" s="14"/>
    </row>
    <row r="401" spans="5:7" ht="18" customHeight="1">
      <c r="E401" s="14"/>
      <c r="G401" s="14"/>
    </row>
    <row r="402" spans="5:7" ht="18" customHeight="1">
      <c r="E402" s="14"/>
      <c r="G402" s="14"/>
    </row>
    <row r="403" spans="5:7" ht="18" customHeight="1">
      <c r="E403" s="14"/>
      <c r="G403" s="14"/>
    </row>
    <row r="404" spans="5:7" ht="18" customHeight="1">
      <c r="E404" s="14"/>
      <c r="G404" s="14"/>
    </row>
    <row r="405" spans="5:7" ht="18" customHeight="1">
      <c r="E405" s="14"/>
      <c r="G405" s="14"/>
    </row>
    <row r="406" spans="5:7" ht="18" customHeight="1">
      <c r="E406" s="14"/>
      <c r="G406" s="14"/>
    </row>
    <row r="407" spans="5:7" ht="18" customHeight="1">
      <c r="E407" s="14"/>
      <c r="G407" s="14"/>
    </row>
    <row r="408" spans="5:7" ht="18" customHeight="1">
      <c r="E408" s="14"/>
      <c r="G408" s="14"/>
    </row>
    <row r="409" spans="5:7" ht="18" customHeight="1">
      <c r="E409" s="14"/>
      <c r="G409" s="14"/>
    </row>
    <row r="410" spans="5:7" ht="18" customHeight="1">
      <c r="E410" s="14"/>
      <c r="G410" s="14"/>
    </row>
    <row r="411" spans="5:7" ht="18" customHeight="1">
      <c r="E411" s="14"/>
      <c r="G411" s="14"/>
    </row>
    <row r="412" spans="5:7" ht="18" customHeight="1">
      <c r="E412" s="14"/>
      <c r="G412" s="14"/>
    </row>
    <row r="413" spans="5:7" ht="18" customHeight="1">
      <c r="E413" s="14"/>
      <c r="G413" s="14"/>
    </row>
    <row r="414" spans="5:7" ht="18" customHeight="1">
      <c r="E414" s="14"/>
      <c r="G414" s="14"/>
    </row>
    <row r="415" spans="5:7" ht="18" customHeight="1">
      <c r="E415" s="14"/>
      <c r="G415" s="14"/>
    </row>
    <row r="416" spans="5:7" ht="18" customHeight="1">
      <c r="E416" s="14"/>
      <c r="G416" s="14"/>
    </row>
    <row r="417" spans="5:7" ht="18" customHeight="1">
      <c r="E417" s="14"/>
      <c r="G417" s="14"/>
    </row>
    <row r="418" spans="5:7" ht="18" customHeight="1">
      <c r="E418" s="14"/>
      <c r="G418" s="14"/>
    </row>
    <row r="419" spans="5:7" ht="18" customHeight="1">
      <c r="E419" s="14"/>
      <c r="G419" s="14"/>
    </row>
    <row r="420" spans="5:7" ht="18" customHeight="1">
      <c r="E420" s="14"/>
      <c r="G420" s="14"/>
    </row>
    <row r="421" spans="5:7" ht="18" customHeight="1">
      <c r="E421" s="14"/>
      <c r="G421" s="14"/>
    </row>
    <row r="422" spans="5:7" ht="18" customHeight="1">
      <c r="E422" s="14"/>
      <c r="G422" s="14"/>
    </row>
    <row r="423" spans="5:7" ht="18" customHeight="1">
      <c r="E423" s="14"/>
      <c r="G423" s="14"/>
    </row>
    <row r="424" spans="5:7" ht="18" customHeight="1">
      <c r="E424" s="14"/>
      <c r="G424" s="14"/>
    </row>
    <row r="425" spans="5:7" ht="18" customHeight="1">
      <c r="E425" s="14"/>
      <c r="G425" s="14"/>
    </row>
    <row r="426" spans="5:7" ht="18" customHeight="1">
      <c r="E426" s="14"/>
      <c r="G426" s="14"/>
    </row>
    <row r="427" spans="5:7" ht="18" customHeight="1">
      <c r="E427" s="14"/>
      <c r="G427" s="14"/>
    </row>
    <row r="428" spans="5:7" ht="18" customHeight="1">
      <c r="E428" s="14"/>
      <c r="G428" s="14"/>
    </row>
    <row r="429" spans="5:7" ht="18" customHeight="1">
      <c r="E429" s="14"/>
      <c r="G429" s="14"/>
    </row>
    <row r="430" spans="5:7" ht="18" customHeight="1">
      <c r="E430" s="14"/>
      <c r="G430" s="14"/>
    </row>
    <row r="431" spans="5:7" ht="18" customHeight="1">
      <c r="E431" s="14"/>
      <c r="G431" s="14"/>
    </row>
    <row r="432" spans="5:7" ht="18" customHeight="1">
      <c r="E432" s="14"/>
      <c r="G432" s="14"/>
    </row>
    <row r="433" spans="5:7" ht="18" customHeight="1">
      <c r="E433" s="14"/>
      <c r="G433" s="14"/>
    </row>
    <row r="434" spans="5:7" ht="18" customHeight="1">
      <c r="E434" s="14"/>
      <c r="G434" s="14"/>
    </row>
    <row r="435" spans="5:7" ht="18" customHeight="1">
      <c r="E435" s="14"/>
      <c r="G435" s="14"/>
    </row>
    <row r="436" spans="5:7" ht="18" customHeight="1">
      <c r="E436" s="14"/>
      <c r="G436" s="14"/>
    </row>
    <row r="437" spans="5:7" ht="18" customHeight="1">
      <c r="E437" s="14"/>
      <c r="G437" s="14"/>
    </row>
    <row r="438" spans="5:7" ht="18" customHeight="1">
      <c r="E438" s="14"/>
      <c r="G438" s="14"/>
    </row>
    <row r="439" spans="5:7" ht="18" customHeight="1">
      <c r="E439" s="14"/>
      <c r="G439" s="14"/>
    </row>
    <row r="440" spans="5:7" ht="18" customHeight="1">
      <c r="E440" s="14"/>
      <c r="G440" s="14"/>
    </row>
    <row r="441" spans="5:7" ht="18" customHeight="1">
      <c r="E441" s="14"/>
      <c r="G441" s="14"/>
    </row>
    <row r="442" spans="5:7" ht="18" customHeight="1">
      <c r="E442" s="14"/>
      <c r="G442" s="14"/>
    </row>
    <row r="443" spans="5:7" ht="18" customHeight="1">
      <c r="E443" s="14"/>
      <c r="G443" s="14"/>
    </row>
    <row r="444" spans="5:7" ht="18" customHeight="1">
      <c r="E444" s="14"/>
      <c r="G444" s="14"/>
    </row>
    <row r="445" spans="5:7" ht="18" customHeight="1">
      <c r="E445" s="14"/>
      <c r="G445" s="14"/>
    </row>
    <row r="446" spans="5:7" ht="18" customHeight="1">
      <c r="E446" s="14"/>
      <c r="G446" s="14"/>
    </row>
    <row r="447" spans="5:7" ht="18" customHeight="1">
      <c r="E447" s="14"/>
      <c r="G447" s="14"/>
    </row>
    <row r="448" spans="5:7" ht="18" customHeight="1">
      <c r="E448" s="14"/>
      <c r="G448" s="14"/>
    </row>
    <row r="449" spans="5:7" ht="18" customHeight="1">
      <c r="E449" s="14"/>
      <c r="G449" s="14"/>
    </row>
    <row r="450" spans="5:7" ht="18" customHeight="1">
      <c r="E450" s="14"/>
      <c r="G450" s="14"/>
    </row>
    <row r="451" spans="5:7" ht="18" customHeight="1">
      <c r="E451" s="14"/>
      <c r="G451" s="14"/>
    </row>
    <row r="452" spans="5:7" ht="18" customHeight="1">
      <c r="E452" s="14"/>
      <c r="G452" s="14"/>
    </row>
    <row r="453" spans="5:7" ht="18" customHeight="1">
      <c r="E453" s="14"/>
      <c r="G453" s="14"/>
    </row>
    <row r="454" spans="5:7" ht="18" customHeight="1">
      <c r="E454" s="14"/>
      <c r="G454" s="14"/>
    </row>
    <row r="455" spans="5:7" ht="18" customHeight="1">
      <c r="E455" s="14"/>
      <c r="G455" s="14"/>
    </row>
    <row r="456" spans="5:7" ht="18" customHeight="1">
      <c r="E456" s="14"/>
      <c r="G456" s="14"/>
    </row>
    <row r="457" spans="5:7" ht="18" customHeight="1">
      <c r="E457" s="14"/>
      <c r="G457" s="14"/>
    </row>
    <row r="458" spans="5:7" ht="18" customHeight="1">
      <c r="E458" s="14"/>
      <c r="G458" s="14"/>
    </row>
    <row r="459" spans="5:7" ht="18" customHeight="1">
      <c r="E459" s="14"/>
      <c r="G459" s="14"/>
    </row>
    <row r="460" spans="5:7" ht="18" customHeight="1">
      <c r="E460" s="14"/>
      <c r="G460" s="14"/>
    </row>
    <row r="461" spans="5:7" ht="18" customHeight="1">
      <c r="E461" s="14"/>
      <c r="G461" s="14"/>
    </row>
    <row r="462" spans="5:7" ht="18" customHeight="1">
      <c r="E462" s="14"/>
      <c r="G462" s="14"/>
    </row>
    <row r="463" spans="5:7" ht="18" customHeight="1">
      <c r="E463" s="14"/>
      <c r="G463" s="14"/>
    </row>
    <row r="464" spans="5:7" ht="18" customHeight="1">
      <c r="E464" s="14"/>
      <c r="G464" s="14"/>
    </row>
    <row r="465" spans="5:7" ht="18" customHeight="1">
      <c r="E465" s="14"/>
      <c r="G465" s="14"/>
    </row>
    <row r="466" spans="5:7" ht="18" customHeight="1">
      <c r="E466" s="14"/>
      <c r="G466" s="14"/>
    </row>
    <row r="467" spans="5:7" ht="18" customHeight="1">
      <c r="E467" s="14"/>
      <c r="G467" s="14"/>
    </row>
    <row r="468" spans="5:7" ht="18" customHeight="1">
      <c r="E468" s="14"/>
      <c r="G468" s="14"/>
    </row>
    <row r="469" spans="5:7" ht="18" customHeight="1">
      <c r="E469" s="14"/>
      <c r="G469" s="14"/>
    </row>
    <row r="470" spans="5:7" ht="18" customHeight="1">
      <c r="E470" s="14"/>
      <c r="G470" s="14"/>
    </row>
    <row r="471" spans="5:7" ht="18" customHeight="1">
      <c r="E471" s="14"/>
      <c r="G471" s="14"/>
    </row>
    <row r="472" spans="5:7" ht="18" customHeight="1">
      <c r="E472" s="14"/>
      <c r="G472" s="14"/>
    </row>
    <row r="473" spans="5:7" ht="18" customHeight="1">
      <c r="E473" s="14"/>
      <c r="G473" s="14"/>
    </row>
    <row r="474" spans="5:7" ht="18" customHeight="1">
      <c r="E474" s="14"/>
      <c r="G474" s="14"/>
    </row>
    <row r="475" spans="5:7" ht="18" customHeight="1">
      <c r="E475" s="14"/>
      <c r="G475" s="14"/>
    </row>
    <row r="476" spans="5:7" ht="18" customHeight="1">
      <c r="E476" s="14"/>
      <c r="G476" s="14"/>
    </row>
    <row r="477" spans="5:7" ht="18" customHeight="1">
      <c r="E477" s="14"/>
      <c r="G477" s="14"/>
    </row>
    <row r="478" spans="5:7" ht="18" customHeight="1">
      <c r="E478" s="14"/>
      <c r="G478" s="14"/>
    </row>
    <row r="479" spans="5:7" ht="18" customHeight="1">
      <c r="E479" s="14"/>
      <c r="G479" s="14"/>
    </row>
    <row r="480" spans="5:7" ht="18" customHeight="1">
      <c r="E480" s="14"/>
      <c r="G480" s="14"/>
    </row>
    <row r="481" spans="5:7" ht="18" customHeight="1">
      <c r="E481" s="14"/>
      <c r="G481" s="14"/>
    </row>
    <row r="482" spans="5:7" ht="18" customHeight="1">
      <c r="E482" s="14"/>
      <c r="G482" s="14"/>
    </row>
    <row r="483" spans="5:7" ht="18" customHeight="1">
      <c r="E483" s="14"/>
      <c r="G483" s="14"/>
    </row>
    <row r="484" spans="5:7" ht="18" customHeight="1">
      <c r="E484" s="14"/>
      <c r="G484" s="14"/>
    </row>
    <row r="485" spans="5:7" ht="18" customHeight="1">
      <c r="E485" s="14"/>
      <c r="G485" s="14"/>
    </row>
    <row r="486" spans="5:7" ht="18" customHeight="1">
      <c r="E486" s="14"/>
      <c r="G486" s="14"/>
    </row>
    <row r="487" spans="5:7" ht="18" customHeight="1">
      <c r="E487" s="14"/>
      <c r="G487" s="14"/>
    </row>
    <row r="488" spans="5:7" ht="18" customHeight="1">
      <c r="E488" s="14"/>
      <c r="G488" s="14"/>
    </row>
    <row r="489" spans="5:7" ht="18" customHeight="1">
      <c r="E489" s="14"/>
      <c r="G489" s="14"/>
    </row>
    <row r="490" spans="5:7" ht="18" customHeight="1">
      <c r="E490" s="14"/>
      <c r="G490" s="14"/>
    </row>
    <row r="491" spans="5:7" ht="18" customHeight="1">
      <c r="E491" s="14"/>
      <c r="G491" s="14"/>
    </row>
    <row r="492" spans="5:7" ht="18" customHeight="1">
      <c r="E492" s="14"/>
      <c r="G492" s="14"/>
    </row>
    <row r="493" spans="5:7" ht="18" customHeight="1">
      <c r="E493" s="14"/>
      <c r="G493" s="14"/>
    </row>
    <row r="494" spans="5:7" ht="18" customHeight="1">
      <c r="E494" s="14"/>
      <c r="G494" s="14"/>
    </row>
    <row r="495" spans="5:7" ht="18" customHeight="1">
      <c r="E495" s="14"/>
      <c r="G495" s="14"/>
    </row>
    <row r="496" spans="5:7" ht="18" customHeight="1">
      <c r="E496" s="14"/>
      <c r="G496" s="14"/>
    </row>
    <row r="497" spans="5:7" ht="18" customHeight="1">
      <c r="E497" s="14"/>
      <c r="G497" s="14"/>
    </row>
    <row r="498" spans="5:7" ht="18" customHeight="1">
      <c r="E498" s="14"/>
      <c r="G498" s="14"/>
    </row>
    <row r="499" spans="5:7" ht="18" customHeight="1">
      <c r="E499" s="14"/>
      <c r="G499" s="14"/>
    </row>
    <row r="500" spans="5:7" ht="18" customHeight="1">
      <c r="E500" s="14"/>
      <c r="G500" s="14"/>
    </row>
    <row r="501" spans="5:7" ht="18" customHeight="1">
      <c r="E501" s="14"/>
      <c r="G501" s="14"/>
    </row>
    <row r="502" spans="5:7" ht="18" customHeight="1">
      <c r="E502" s="14"/>
      <c r="G502" s="14"/>
    </row>
    <row r="503" spans="5:7" ht="18" customHeight="1">
      <c r="E503" s="14"/>
      <c r="G503" s="14"/>
    </row>
    <row r="504" spans="5:7" ht="18" customHeight="1">
      <c r="E504" s="14"/>
      <c r="G504" s="14"/>
    </row>
    <row r="505" spans="5:7" ht="18" customHeight="1">
      <c r="E505" s="14"/>
      <c r="G505" s="14"/>
    </row>
    <row r="506" spans="5:7" ht="18" customHeight="1">
      <c r="E506" s="14"/>
      <c r="G506" s="14"/>
    </row>
    <row r="507" spans="5:7" ht="18" customHeight="1">
      <c r="E507" s="14"/>
      <c r="G507" s="14"/>
    </row>
    <row r="508" spans="5:7" ht="18" customHeight="1">
      <c r="E508" s="14"/>
      <c r="G508" s="14"/>
    </row>
    <row r="509" spans="5:7" ht="18" customHeight="1">
      <c r="E509" s="14"/>
      <c r="G509" s="14"/>
    </row>
    <row r="510" spans="5:7" ht="18" customHeight="1">
      <c r="E510" s="14"/>
      <c r="G510" s="14"/>
    </row>
    <row r="511" spans="5:7" ht="18" customHeight="1">
      <c r="E511" s="14"/>
      <c r="G511" s="14"/>
    </row>
    <row r="512" spans="5:7" ht="18" customHeight="1">
      <c r="E512" s="14"/>
      <c r="G512" s="14"/>
    </row>
    <row r="513" spans="5:7" ht="18" customHeight="1">
      <c r="E513" s="14"/>
      <c r="G513" s="14"/>
    </row>
    <row r="514" spans="5:7" ht="18" customHeight="1">
      <c r="E514" s="14"/>
      <c r="G514" s="14"/>
    </row>
    <row r="515" spans="5:7" ht="18" customHeight="1">
      <c r="E515" s="14"/>
      <c r="G515" s="14"/>
    </row>
    <row r="516" spans="5:7" ht="18" customHeight="1">
      <c r="E516" s="14"/>
      <c r="G516" s="14"/>
    </row>
    <row r="517" spans="5:7" ht="18" customHeight="1">
      <c r="E517" s="14"/>
      <c r="G517" s="14"/>
    </row>
    <row r="518" spans="5:7" ht="18" customHeight="1">
      <c r="E518" s="14"/>
      <c r="G518" s="14"/>
    </row>
    <row r="519" spans="5:7" ht="18" customHeight="1">
      <c r="E519" s="14"/>
      <c r="G519" s="14"/>
    </row>
    <row r="520" spans="5:7" ht="18" customHeight="1">
      <c r="E520" s="14"/>
      <c r="G520" s="14"/>
    </row>
    <row r="521" spans="5:7" ht="18" customHeight="1">
      <c r="E521" s="14"/>
      <c r="G521" s="14"/>
    </row>
    <row r="522" spans="5:7" ht="18" customHeight="1">
      <c r="E522" s="14"/>
      <c r="G522" s="14"/>
    </row>
    <row r="523" spans="5:7" ht="18" customHeight="1">
      <c r="E523" s="14"/>
      <c r="G523" s="14"/>
    </row>
    <row r="524" spans="5:7" ht="18" customHeight="1">
      <c r="E524" s="14"/>
      <c r="G524" s="14"/>
    </row>
    <row r="525" spans="5:7" ht="18" customHeight="1">
      <c r="E525" s="14"/>
      <c r="G525" s="14"/>
    </row>
    <row r="526" spans="5:7" ht="18" customHeight="1">
      <c r="E526" s="14"/>
      <c r="G526" s="14"/>
    </row>
    <row r="527" spans="5:7" ht="18" customHeight="1">
      <c r="E527" s="14"/>
      <c r="G527" s="14"/>
    </row>
    <row r="528" spans="5:7" ht="18" customHeight="1">
      <c r="E528" s="14"/>
      <c r="G528" s="14"/>
    </row>
    <row r="529" spans="5:7" ht="18" customHeight="1">
      <c r="E529" s="14"/>
      <c r="G529" s="14"/>
    </row>
    <row r="530" spans="5:7" ht="18" customHeight="1">
      <c r="E530" s="14"/>
      <c r="G530" s="14"/>
    </row>
    <row r="531" spans="5:7" ht="18" customHeight="1">
      <c r="E531" s="14"/>
      <c r="G531" s="14"/>
    </row>
    <row r="532" spans="5:7" ht="18" customHeight="1">
      <c r="E532" s="14"/>
      <c r="G532" s="14"/>
    </row>
    <row r="533" spans="5:7" ht="18" customHeight="1">
      <c r="E533" s="14"/>
      <c r="G533" s="14"/>
    </row>
    <row r="534" spans="5:7" ht="18" customHeight="1">
      <c r="E534" s="14"/>
      <c r="G534" s="14"/>
    </row>
    <row r="535" spans="5:7" ht="18" customHeight="1">
      <c r="E535" s="14"/>
      <c r="G535" s="14"/>
    </row>
    <row r="536" spans="5:7" ht="18" customHeight="1">
      <c r="E536" s="14"/>
      <c r="G536" s="14"/>
    </row>
    <row r="537" spans="5:7" ht="18" customHeight="1">
      <c r="E537" s="14"/>
      <c r="G537" s="14"/>
    </row>
    <row r="538" spans="5:7" ht="18" customHeight="1">
      <c r="E538" s="14"/>
      <c r="G538" s="14"/>
    </row>
    <row r="539" spans="5:7" ht="18" customHeight="1">
      <c r="E539" s="14"/>
      <c r="G539" s="14"/>
    </row>
    <row r="540" spans="5:7" ht="18" customHeight="1">
      <c r="E540" s="14"/>
      <c r="G540" s="14"/>
    </row>
    <row r="541" spans="5:7" ht="18" customHeight="1">
      <c r="E541" s="14"/>
      <c r="G541" s="14"/>
    </row>
    <row r="542" spans="5:7" ht="18" customHeight="1">
      <c r="E542" s="14"/>
      <c r="G542" s="14"/>
    </row>
    <row r="543" spans="5:7" ht="18" customHeight="1">
      <c r="E543" s="14"/>
      <c r="G543" s="14"/>
    </row>
    <row r="544" spans="5:7" ht="18" customHeight="1">
      <c r="E544" s="14"/>
      <c r="G544" s="14"/>
    </row>
    <row r="545" spans="5:7" ht="18" customHeight="1">
      <c r="E545" s="14"/>
      <c r="G545" s="14"/>
    </row>
    <row r="546" spans="5:7" ht="18" customHeight="1">
      <c r="E546" s="14"/>
      <c r="G546" s="14"/>
    </row>
    <row r="547" spans="5:7" ht="18" customHeight="1">
      <c r="E547" s="14"/>
      <c r="G547" s="14"/>
    </row>
    <row r="548" spans="5:7" ht="18" customHeight="1">
      <c r="E548" s="14"/>
      <c r="G548" s="14"/>
    </row>
    <row r="549" spans="5:7" ht="18" customHeight="1">
      <c r="E549" s="14"/>
      <c r="G549" s="14"/>
    </row>
    <row r="550" spans="5:7" ht="18" customHeight="1">
      <c r="E550" s="14"/>
      <c r="G550" s="14"/>
    </row>
    <row r="551" spans="5:7" ht="18" customHeight="1">
      <c r="E551" s="14"/>
      <c r="G551" s="14"/>
    </row>
    <row r="552" spans="5:7" ht="18" customHeight="1">
      <c r="E552" s="14"/>
      <c r="G552" s="14"/>
    </row>
    <row r="553" spans="5:7" ht="18" customHeight="1">
      <c r="E553" s="14"/>
      <c r="G553" s="14"/>
    </row>
    <row r="554" spans="5:7" ht="18" customHeight="1">
      <c r="E554" s="14"/>
      <c r="G554" s="14"/>
    </row>
    <row r="555" spans="5:7" ht="18" customHeight="1">
      <c r="E555" s="14"/>
      <c r="G555" s="14"/>
    </row>
    <row r="556" spans="5:7" ht="18" customHeight="1">
      <c r="E556" s="14"/>
      <c r="G556" s="14"/>
    </row>
    <row r="557" spans="5:7" ht="18" customHeight="1">
      <c r="E557" s="14"/>
      <c r="G557" s="14"/>
    </row>
    <row r="558" spans="5:7" ht="18" customHeight="1">
      <c r="E558" s="14"/>
      <c r="G558" s="14"/>
    </row>
    <row r="559" spans="5:7" ht="18" customHeight="1">
      <c r="E559" s="14"/>
      <c r="G559" s="14"/>
    </row>
    <row r="560" spans="5:7" ht="18" customHeight="1">
      <c r="E560" s="14"/>
      <c r="G560" s="14"/>
    </row>
    <row r="561" spans="5:7" ht="18" customHeight="1">
      <c r="E561" s="14"/>
      <c r="G561" s="14"/>
    </row>
    <row r="562" spans="5:7" ht="18" customHeight="1">
      <c r="E562" s="14"/>
      <c r="G562" s="14"/>
    </row>
    <row r="563" spans="5:7" ht="18" customHeight="1">
      <c r="E563" s="14"/>
      <c r="G563" s="14"/>
    </row>
    <row r="564" spans="5:7" ht="18" customHeight="1">
      <c r="E564" s="14"/>
      <c r="G564" s="14"/>
    </row>
    <row r="565" spans="5:7" ht="18" customHeight="1">
      <c r="E565" s="14"/>
      <c r="G565" s="14"/>
    </row>
    <row r="566" spans="5:7" ht="18" customHeight="1">
      <c r="E566" s="14"/>
      <c r="G566" s="14"/>
    </row>
    <row r="567" spans="5:7" ht="18" customHeight="1">
      <c r="E567" s="14"/>
      <c r="G567" s="14"/>
    </row>
    <row r="568" spans="5:7" ht="18" customHeight="1">
      <c r="E568" s="14"/>
      <c r="G568" s="14"/>
    </row>
    <row r="569" spans="5:7" ht="18" customHeight="1">
      <c r="E569" s="14"/>
      <c r="G569" s="14"/>
    </row>
    <row r="570" spans="5:7" ht="18" customHeight="1">
      <c r="E570" s="14"/>
      <c r="G570" s="14"/>
    </row>
    <row r="571" spans="5:7" ht="18" customHeight="1">
      <c r="E571" s="14"/>
      <c r="G571" s="14"/>
    </row>
    <row r="572" spans="5:7" ht="18" customHeight="1">
      <c r="E572" s="14"/>
      <c r="G572" s="14"/>
    </row>
    <row r="573" spans="5:7" ht="18" customHeight="1">
      <c r="E573" s="14"/>
      <c r="G573" s="14"/>
    </row>
    <row r="574" spans="5:7" ht="18" customHeight="1">
      <c r="E574" s="14"/>
      <c r="G574" s="14"/>
    </row>
    <row r="575" spans="5:7" ht="18" customHeight="1">
      <c r="E575" s="14"/>
      <c r="G575" s="14"/>
    </row>
    <row r="576" spans="5:7" ht="18" customHeight="1">
      <c r="E576" s="14"/>
      <c r="G576" s="14"/>
    </row>
    <row r="577" spans="5:7" ht="18" customHeight="1">
      <c r="E577" s="14"/>
      <c r="G577" s="14"/>
    </row>
    <row r="578" spans="5:7" ht="18" customHeight="1">
      <c r="E578" s="14"/>
      <c r="G578" s="14"/>
    </row>
    <row r="579" spans="5:7" ht="18" customHeight="1">
      <c r="E579" s="14"/>
      <c r="G579" s="14"/>
    </row>
    <row r="580" spans="5:7" ht="18" customHeight="1">
      <c r="E580" s="14"/>
      <c r="G580" s="14"/>
    </row>
    <row r="581" spans="5:7" ht="18" customHeight="1">
      <c r="E581" s="14"/>
      <c r="G581" s="14"/>
    </row>
    <row r="582" spans="5:7" ht="18" customHeight="1">
      <c r="E582" s="14"/>
      <c r="G582" s="14"/>
    </row>
    <row r="583" spans="5:7" ht="18" customHeight="1">
      <c r="E583" s="14"/>
      <c r="G583" s="14"/>
    </row>
    <row r="584" spans="5:7" ht="18" customHeight="1">
      <c r="E584" s="14"/>
      <c r="G584" s="14"/>
    </row>
    <row r="585" spans="5:7" ht="18" customHeight="1">
      <c r="E585" s="14"/>
      <c r="G585" s="14"/>
    </row>
    <row r="586" spans="5:7" ht="18" customHeight="1">
      <c r="E586" s="14"/>
      <c r="G586" s="14"/>
    </row>
    <row r="587" spans="5:7" ht="18" customHeight="1">
      <c r="E587" s="14"/>
      <c r="G587" s="14"/>
    </row>
    <row r="588" spans="5:7" ht="18" customHeight="1">
      <c r="E588" s="14"/>
      <c r="G588" s="14"/>
    </row>
    <row r="589" spans="5:7" ht="18" customHeight="1">
      <c r="E589" s="14"/>
      <c r="G589" s="14"/>
    </row>
    <row r="590" spans="5:7" ht="18" customHeight="1">
      <c r="E590" s="14"/>
      <c r="G590" s="14"/>
    </row>
    <row r="591" spans="5:7" ht="18" customHeight="1">
      <c r="E591" s="14"/>
      <c r="G591" s="14"/>
    </row>
    <row r="592" spans="5:7" ht="18" customHeight="1">
      <c r="E592" s="14"/>
      <c r="G592" s="14"/>
    </row>
    <row r="593" spans="5:7" ht="18" customHeight="1">
      <c r="E593" s="14"/>
      <c r="G593" s="14"/>
    </row>
    <row r="594" spans="5:7" ht="18" customHeight="1">
      <c r="E594" s="14"/>
      <c r="G594" s="14"/>
    </row>
    <row r="595" spans="5:7" ht="18" customHeight="1">
      <c r="E595" s="14"/>
      <c r="G595" s="14"/>
    </row>
    <row r="596" spans="5:7" ht="18" customHeight="1">
      <c r="E596" s="14"/>
      <c r="G596" s="14"/>
    </row>
    <row r="597" spans="5:7" ht="18" customHeight="1">
      <c r="E597" s="14"/>
      <c r="G597" s="14"/>
    </row>
    <row r="598" spans="5:7" ht="18" customHeight="1">
      <c r="E598" s="14"/>
      <c r="G598" s="14"/>
    </row>
    <row r="599" spans="5:7" ht="18" customHeight="1">
      <c r="E599" s="14"/>
      <c r="G599" s="14"/>
    </row>
    <row r="600" spans="5:7" ht="18" customHeight="1">
      <c r="E600" s="14"/>
      <c r="G600" s="14"/>
    </row>
    <row r="601" spans="5:7" ht="18" customHeight="1">
      <c r="E601" s="14"/>
      <c r="G601" s="14"/>
    </row>
    <row r="602" spans="5:7" ht="18" customHeight="1">
      <c r="E602" s="14"/>
      <c r="G602" s="14"/>
    </row>
    <row r="603" spans="5:7" ht="18" customHeight="1">
      <c r="E603" s="14"/>
      <c r="G603" s="14"/>
    </row>
    <row r="604" spans="5:7" ht="18" customHeight="1">
      <c r="E604" s="14"/>
      <c r="G604" s="14"/>
    </row>
    <row r="605" spans="5:7" ht="18" customHeight="1">
      <c r="E605" s="14"/>
      <c r="G605" s="14"/>
    </row>
    <row r="606" spans="5:7" ht="18" customHeight="1">
      <c r="E606" s="14"/>
      <c r="G606" s="14"/>
    </row>
    <row r="607" spans="5:7" ht="18" customHeight="1">
      <c r="E607" s="14"/>
      <c r="G607" s="14"/>
    </row>
    <row r="608" spans="5:7" ht="18" customHeight="1">
      <c r="E608" s="14"/>
      <c r="G608" s="14"/>
    </row>
    <row r="609" spans="5:7" ht="18" customHeight="1">
      <c r="E609" s="14"/>
      <c r="G609" s="14"/>
    </row>
    <row r="610" spans="5:7" ht="18" customHeight="1">
      <c r="E610" s="14"/>
      <c r="G610" s="14"/>
    </row>
    <row r="611" spans="5:7" ht="18" customHeight="1">
      <c r="E611" s="14"/>
      <c r="G611" s="14"/>
    </row>
    <row r="612" spans="5:7" ht="18" customHeight="1">
      <c r="E612" s="14"/>
      <c r="G612" s="14"/>
    </row>
    <row r="613" spans="5:7" ht="18" customHeight="1">
      <c r="E613" s="14"/>
      <c r="G613" s="14"/>
    </row>
    <row r="614" spans="5:7" ht="18" customHeight="1">
      <c r="E614" s="14"/>
      <c r="G614" s="14"/>
    </row>
    <row r="615" spans="5:7" ht="18" customHeight="1">
      <c r="E615" s="14"/>
      <c r="G615" s="14"/>
    </row>
    <row r="616" spans="5:7" ht="18" customHeight="1">
      <c r="E616" s="14"/>
      <c r="G616" s="14"/>
    </row>
    <row r="617" spans="5:7" ht="18" customHeight="1">
      <c r="E617" s="14"/>
      <c r="G617" s="14"/>
    </row>
    <row r="618" spans="5:7" ht="18" customHeight="1">
      <c r="E618" s="14"/>
      <c r="G618" s="14"/>
    </row>
    <row r="619" spans="5:7" ht="18" customHeight="1">
      <c r="E619" s="14"/>
      <c r="G619" s="14"/>
    </row>
    <row r="620" spans="5:7" ht="18" customHeight="1">
      <c r="E620" s="14"/>
      <c r="G620" s="14"/>
    </row>
    <row r="621" spans="5:7" ht="18" customHeight="1">
      <c r="E621" s="14"/>
      <c r="G621" s="14"/>
    </row>
    <row r="622" spans="5:7" ht="18" customHeight="1">
      <c r="E622" s="14"/>
      <c r="G622" s="14"/>
    </row>
    <row r="623" spans="5:7" ht="18" customHeight="1">
      <c r="E623" s="14"/>
      <c r="G623" s="14"/>
    </row>
    <row r="624" spans="5:7" ht="18" customHeight="1">
      <c r="E624" s="14"/>
      <c r="G624" s="14"/>
    </row>
    <row r="625" spans="5:7" ht="18" customHeight="1">
      <c r="E625" s="14"/>
      <c r="G625" s="14"/>
    </row>
    <row r="626" spans="5:7" ht="18" customHeight="1">
      <c r="E626" s="14"/>
      <c r="G626" s="14"/>
    </row>
    <row r="627" spans="5:7" ht="18" customHeight="1">
      <c r="E627" s="14"/>
      <c r="G627" s="14"/>
    </row>
    <row r="628" spans="5:7" ht="18" customHeight="1">
      <c r="E628" s="14"/>
      <c r="G628" s="14"/>
    </row>
    <row r="629" spans="5:7" ht="18" customHeight="1">
      <c r="E629" s="14"/>
      <c r="G629" s="14"/>
    </row>
    <row r="630" spans="5:7" ht="18" customHeight="1">
      <c r="E630" s="14"/>
      <c r="G630" s="14"/>
    </row>
    <row r="631" spans="5:7" ht="18" customHeight="1">
      <c r="E631" s="14"/>
      <c r="G631" s="14"/>
    </row>
    <row r="632" spans="5:7" ht="18" customHeight="1">
      <c r="E632" s="14"/>
      <c r="G632" s="14"/>
    </row>
    <row r="633" spans="5:7" ht="18" customHeight="1">
      <c r="E633" s="14"/>
      <c r="G633" s="14"/>
    </row>
    <row r="634" spans="5:7" ht="18" customHeight="1">
      <c r="E634" s="14"/>
      <c r="G634" s="14"/>
    </row>
    <row r="635" spans="5:7" ht="18" customHeight="1">
      <c r="E635" s="14"/>
      <c r="G635" s="14"/>
    </row>
    <row r="636" spans="5:7" ht="18" customHeight="1">
      <c r="E636" s="14"/>
      <c r="G636" s="14"/>
    </row>
    <row r="637" spans="5:7" ht="18" customHeight="1">
      <c r="E637" s="14"/>
      <c r="G637" s="14"/>
    </row>
    <row r="638" spans="5:7" ht="18" customHeight="1">
      <c r="E638" s="14"/>
      <c r="G638" s="14"/>
    </row>
    <row r="639" spans="5:7" ht="18" customHeight="1">
      <c r="E639" s="14"/>
      <c r="G639" s="14"/>
    </row>
    <row r="640" spans="5:7" ht="18" customHeight="1">
      <c r="E640" s="14"/>
      <c r="G640" s="14"/>
    </row>
    <row r="641" spans="5:7" ht="18" customHeight="1">
      <c r="E641" s="14"/>
      <c r="G641" s="14"/>
    </row>
    <row r="642" spans="5:7" ht="18" customHeight="1">
      <c r="E642" s="14"/>
      <c r="G642" s="14"/>
    </row>
    <row r="643" spans="5:7" ht="18" customHeight="1">
      <c r="E643" s="14"/>
      <c r="G643" s="14"/>
    </row>
    <row r="644" spans="5:7" ht="18" customHeight="1">
      <c r="E644" s="14"/>
      <c r="G644" s="14"/>
    </row>
    <row r="645" spans="5:7" ht="18" customHeight="1">
      <c r="E645" s="14"/>
      <c r="G645" s="14"/>
    </row>
    <row r="646" spans="5:7" ht="18" customHeight="1">
      <c r="E646" s="14"/>
      <c r="G646" s="14"/>
    </row>
    <row r="647" spans="5:7" ht="18" customHeight="1">
      <c r="E647" s="14"/>
      <c r="G647" s="14"/>
    </row>
    <row r="648" spans="5:7" ht="18" customHeight="1">
      <c r="E648" s="14"/>
      <c r="G648" s="14"/>
    </row>
    <row r="649" spans="5:7" ht="18" customHeight="1">
      <c r="E649" s="14"/>
      <c r="G649" s="14"/>
    </row>
    <row r="650" spans="5:7" ht="18" customHeight="1">
      <c r="E650" s="14"/>
      <c r="G650" s="14"/>
    </row>
    <row r="651" spans="5:7" ht="18" customHeight="1">
      <c r="E651" s="14"/>
      <c r="G651" s="14"/>
    </row>
    <row r="652" spans="5:7" ht="18" customHeight="1">
      <c r="E652" s="14"/>
      <c r="G652" s="14"/>
    </row>
    <row r="653" spans="5:7" ht="18" customHeight="1">
      <c r="E653" s="14"/>
      <c r="G653" s="14"/>
    </row>
    <row r="654" spans="5:7" ht="18" customHeight="1">
      <c r="E654" s="14"/>
      <c r="G654" s="14"/>
    </row>
    <row r="655" spans="5:7" ht="18" customHeight="1">
      <c r="E655" s="14"/>
      <c r="G655" s="14"/>
    </row>
    <row r="656" spans="5:7" ht="18" customHeight="1">
      <c r="E656" s="14"/>
      <c r="G656" s="14"/>
    </row>
    <row r="657" spans="5:7" ht="18" customHeight="1">
      <c r="E657" s="14"/>
      <c r="G657" s="14"/>
    </row>
    <row r="658" spans="5:7" ht="18" customHeight="1">
      <c r="E658" s="14"/>
      <c r="G658" s="14"/>
    </row>
    <row r="659" spans="5:7" ht="18" customHeight="1">
      <c r="E659" s="14"/>
      <c r="G659" s="14"/>
    </row>
    <row r="660" spans="5:7" ht="18" customHeight="1">
      <c r="E660" s="14"/>
      <c r="G660" s="14"/>
    </row>
    <row r="661" spans="5:7" ht="18" customHeight="1">
      <c r="E661" s="14"/>
      <c r="G661" s="14"/>
    </row>
    <row r="662" spans="5:7" ht="18" customHeight="1">
      <c r="E662" s="14"/>
      <c r="G662" s="14"/>
    </row>
    <row r="663" spans="5:7" ht="18" customHeight="1">
      <c r="E663" s="14"/>
      <c r="G663" s="14"/>
    </row>
    <row r="664" spans="5:7" ht="18" customHeight="1">
      <c r="E664" s="14"/>
      <c r="G664" s="14"/>
    </row>
    <row r="665" spans="5:7" ht="18" customHeight="1">
      <c r="E665" s="14"/>
      <c r="G665" s="14"/>
    </row>
    <row r="666" spans="5:7" ht="18" customHeight="1">
      <c r="E666" s="14"/>
      <c r="G666" s="14"/>
    </row>
    <row r="667" spans="5:7" ht="18" customHeight="1">
      <c r="E667" s="14"/>
      <c r="G667" s="14"/>
    </row>
    <row r="668" spans="5:7" ht="18" customHeight="1">
      <c r="E668" s="14"/>
      <c r="G668" s="14"/>
    </row>
    <row r="669" spans="5:7" ht="18" customHeight="1">
      <c r="E669" s="14"/>
      <c r="G669" s="14"/>
    </row>
    <row r="670" spans="5:7" ht="18" customHeight="1">
      <c r="E670" s="14"/>
      <c r="G670" s="14"/>
    </row>
    <row r="671" spans="5:7" ht="18" customHeight="1">
      <c r="E671" s="14"/>
      <c r="G671" s="14"/>
    </row>
    <row r="672" spans="5:7" ht="18" customHeight="1">
      <c r="E672" s="14"/>
      <c r="G672" s="14"/>
    </row>
    <row r="673" spans="5:7" ht="18" customHeight="1">
      <c r="E673" s="14"/>
      <c r="G673" s="14"/>
    </row>
    <row r="674" spans="5:7" ht="18" customHeight="1">
      <c r="E674" s="14"/>
      <c r="G674" s="14"/>
    </row>
    <row r="675" spans="5:7" ht="18" customHeight="1">
      <c r="E675" s="14"/>
      <c r="G675" s="14"/>
    </row>
    <row r="676" spans="5:7" ht="18" customHeight="1">
      <c r="E676" s="14"/>
      <c r="G676" s="14"/>
    </row>
    <row r="677" spans="5:7" ht="18" customHeight="1">
      <c r="E677" s="14"/>
      <c r="G677" s="14"/>
    </row>
    <row r="678" spans="5:7" ht="18" customHeight="1">
      <c r="E678" s="14"/>
      <c r="G678" s="14"/>
    </row>
    <row r="679" spans="5:7" ht="18" customHeight="1">
      <c r="E679" s="14"/>
      <c r="G679" s="14"/>
    </row>
    <row r="680" spans="5:7" ht="18" customHeight="1">
      <c r="E680" s="14"/>
      <c r="G680" s="14"/>
    </row>
    <row r="681" spans="5:7" ht="18" customHeight="1">
      <c r="E681" s="14"/>
      <c r="G681" s="14"/>
    </row>
    <row r="682" spans="5:7" ht="18" customHeight="1">
      <c r="E682" s="14"/>
      <c r="G682" s="14"/>
    </row>
    <row r="683" spans="5:7" ht="18" customHeight="1">
      <c r="E683" s="14"/>
      <c r="G683" s="14"/>
    </row>
    <row r="684" spans="5:7" ht="18" customHeight="1">
      <c r="E684" s="14"/>
      <c r="G684" s="14"/>
    </row>
    <row r="685" spans="5:7" ht="18" customHeight="1">
      <c r="E685" s="14"/>
      <c r="G685" s="14"/>
    </row>
    <row r="686" spans="5:7" ht="18" customHeight="1">
      <c r="E686" s="14"/>
      <c r="G686" s="14"/>
    </row>
    <row r="687" spans="5:7" ht="18" customHeight="1">
      <c r="E687" s="14"/>
      <c r="G687" s="14"/>
    </row>
    <row r="688" spans="5:7" ht="18" customHeight="1">
      <c r="E688" s="14"/>
      <c r="G688" s="14"/>
    </row>
    <row r="689" spans="5:7" ht="18" customHeight="1">
      <c r="E689" s="14"/>
      <c r="G689" s="14"/>
    </row>
    <row r="690" spans="5:7" ht="18" customHeight="1">
      <c r="E690" s="14"/>
      <c r="G690" s="14"/>
    </row>
    <row r="691" spans="5:7" ht="18" customHeight="1">
      <c r="E691" s="14"/>
      <c r="G691" s="14"/>
    </row>
    <row r="692" spans="5:7" ht="18" customHeight="1">
      <c r="E692" s="14"/>
      <c r="G692" s="14"/>
    </row>
    <row r="693" spans="5:7" ht="18" customHeight="1">
      <c r="E693" s="14"/>
      <c r="G693" s="14"/>
    </row>
    <row r="694" spans="5:7" ht="18" customHeight="1">
      <c r="E694" s="14"/>
      <c r="G694" s="14"/>
    </row>
    <row r="695" spans="5:7" ht="18" customHeight="1">
      <c r="E695" s="14"/>
      <c r="G695" s="14"/>
    </row>
    <row r="696" spans="5:7" ht="18" customHeight="1">
      <c r="E696" s="14"/>
      <c r="G696" s="14"/>
    </row>
    <row r="697" spans="5:7" ht="18" customHeight="1">
      <c r="E697" s="14"/>
      <c r="G697" s="14"/>
    </row>
    <row r="698" spans="5:7" ht="18" customHeight="1">
      <c r="E698" s="14"/>
      <c r="G698" s="14"/>
    </row>
    <row r="699" spans="5:7" ht="18" customHeight="1">
      <c r="E699" s="14"/>
      <c r="G699" s="14"/>
    </row>
    <row r="700" spans="5:7" ht="18" customHeight="1">
      <c r="E700" s="14"/>
      <c r="G700" s="14"/>
    </row>
    <row r="701" spans="5:7" ht="18" customHeight="1">
      <c r="E701" s="14"/>
      <c r="G701" s="14"/>
    </row>
    <row r="702" spans="5:7" ht="18" customHeight="1">
      <c r="E702" s="14"/>
      <c r="G702" s="14"/>
    </row>
    <row r="703" spans="5:7" ht="18" customHeight="1">
      <c r="E703" s="14"/>
      <c r="G703" s="14"/>
    </row>
    <row r="704" spans="5:7" ht="18" customHeight="1">
      <c r="E704" s="14"/>
      <c r="G704" s="14"/>
    </row>
    <row r="705" spans="5:7" ht="18" customHeight="1">
      <c r="E705" s="14"/>
      <c r="G705" s="14"/>
    </row>
    <row r="706" spans="5:7" ht="18" customHeight="1">
      <c r="E706" s="14"/>
      <c r="G706" s="14"/>
    </row>
    <row r="707" spans="5:7" ht="18" customHeight="1">
      <c r="E707" s="14"/>
      <c r="G707" s="14"/>
    </row>
    <row r="708" spans="5:7" ht="18" customHeight="1">
      <c r="E708" s="14"/>
      <c r="G708" s="14"/>
    </row>
    <row r="709" spans="5:7" ht="18" customHeight="1">
      <c r="E709" s="14"/>
      <c r="G709" s="14"/>
    </row>
    <row r="710" spans="5:7" ht="18" customHeight="1">
      <c r="E710" s="14"/>
      <c r="G710" s="14"/>
    </row>
    <row r="711" spans="5:7" ht="18" customHeight="1">
      <c r="E711" s="14"/>
      <c r="G711" s="14"/>
    </row>
    <row r="712" spans="5:7" ht="18" customHeight="1">
      <c r="E712" s="14"/>
      <c r="G712" s="14"/>
    </row>
    <row r="713" spans="5:7" ht="18" customHeight="1">
      <c r="E713" s="14"/>
      <c r="G713" s="14"/>
    </row>
    <row r="714" spans="5:7" ht="18" customHeight="1">
      <c r="E714" s="14"/>
      <c r="G714" s="14"/>
    </row>
    <row r="715" spans="5:7" ht="18" customHeight="1">
      <c r="E715" s="14"/>
      <c r="G715" s="14"/>
    </row>
    <row r="716" spans="5:7" ht="18" customHeight="1">
      <c r="E716" s="14"/>
      <c r="G716" s="14"/>
    </row>
    <row r="717" spans="5:7" ht="18" customHeight="1">
      <c r="E717" s="14"/>
      <c r="G717" s="14"/>
    </row>
    <row r="718" spans="5:7" ht="18" customHeight="1">
      <c r="E718" s="14"/>
      <c r="G718" s="14"/>
    </row>
    <row r="719" spans="5:7" ht="18" customHeight="1">
      <c r="E719" s="14"/>
      <c r="G719" s="14"/>
    </row>
    <row r="720" spans="5:7" ht="18" customHeight="1">
      <c r="E720" s="14"/>
      <c r="G720" s="14"/>
    </row>
    <row r="721" spans="5:7" ht="18" customHeight="1">
      <c r="E721" s="14"/>
      <c r="G721" s="14"/>
    </row>
    <row r="722" spans="5:7" ht="18" customHeight="1">
      <c r="E722" s="14"/>
      <c r="G722" s="14"/>
    </row>
    <row r="723" spans="5:7" ht="18" customHeight="1">
      <c r="E723" s="14"/>
      <c r="G723" s="14"/>
    </row>
    <row r="724" spans="5:7" ht="18" customHeight="1">
      <c r="E724" s="14"/>
      <c r="G724" s="14"/>
    </row>
    <row r="725" spans="5:7" ht="18" customHeight="1">
      <c r="E725" s="14"/>
      <c r="G725" s="14"/>
    </row>
    <row r="726" spans="5:7" ht="18" customHeight="1">
      <c r="E726" s="14"/>
      <c r="G726" s="14"/>
    </row>
    <row r="727" spans="5:7" ht="18" customHeight="1">
      <c r="E727" s="14"/>
      <c r="G727" s="14"/>
    </row>
    <row r="728" spans="5:7" ht="18" customHeight="1">
      <c r="E728" s="14"/>
      <c r="G728" s="14"/>
    </row>
    <row r="729" spans="5:7" ht="18" customHeight="1">
      <c r="E729" s="14"/>
      <c r="G729" s="14"/>
    </row>
    <row r="730" spans="5:7" ht="18" customHeight="1">
      <c r="E730" s="14"/>
      <c r="G730" s="14"/>
    </row>
    <row r="731" spans="5:7" ht="18" customHeight="1">
      <c r="E731" s="14"/>
      <c r="G731" s="14"/>
    </row>
    <row r="732" spans="5:7" ht="18" customHeight="1">
      <c r="E732" s="14"/>
      <c r="G732" s="14"/>
    </row>
    <row r="733" spans="5:7" ht="18" customHeight="1">
      <c r="E733" s="14"/>
      <c r="G733" s="14"/>
    </row>
    <row r="734" spans="5:7" ht="18" customHeight="1">
      <c r="E734" s="14"/>
      <c r="G734" s="14"/>
    </row>
    <row r="735" spans="5:7" ht="18" customHeight="1">
      <c r="E735" s="14"/>
      <c r="G735" s="14"/>
    </row>
    <row r="736" spans="5:7" ht="18" customHeight="1">
      <c r="E736" s="14"/>
      <c r="G736" s="14"/>
    </row>
    <row r="737" spans="5:7" ht="18" customHeight="1">
      <c r="E737" s="14"/>
      <c r="G737" s="14"/>
    </row>
    <row r="738" spans="5:7" ht="18" customHeight="1">
      <c r="E738" s="14"/>
      <c r="G738" s="14"/>
    </row>
    <row r="739" spans="5:7" ht="18" customHeight="1">
      <c r="E739" s="14"/>
      <c r="G739" s="14"/>
    </row>
    <row r="740" spans="5:7" ht="18" customHeight="1">
      <c r="E740" s="14"/>
      <c r="G740" s="14"/>
    </row>
    <row r="741" spans="5:7" ht="18" customHeight="1">
      <c r="E741" s="14"/>
      <c r="G741" s="14"/>
    </row>
    <row r="742" spans="5:7" ht="18" customHeight="1">
      <c r="E742" s="14"/>
      <c r="G742" s="14"/>
    </row>
    <row r="743" spans="5:7" ht="18" customHeight="1">
      <c r="E743" s="14"/>
      <c r="G743" s="14"/>
    </row>
    <row r="744" spans="5:7" ht="18" customHeight="1">
      <c r="E744" s="14"/>
      <c r="G744" s="14"/>
    </row>
    <row r="745" spans="5:7" ht="18" customHeight="1">
      <c r="E745" s="14"/>
      <c r="G745" s="14"/>
    </row>
    <row r="746" spans="5:7" ht="18" customHeight="1">
      <c r="E746" s="14"/>
      <c r="G746" s="14"/>
    </row>
    <row r="747" spans="5:7" ht="18" customHeight="1">
      <c r="E747" s="14"/>
      <c r="G747" s="14"/>
    </row>
    <row r="748" spans="5:7" ht="18" customHeight="1">
      <c r="E748" s="14"/>
      <c r="G748" s="14"/>
    </row>
    <row r="749" spans="5:7" ht="18" customHeight="1">
      <c r="E749" s="14"/>
      <c r="G749" s="14"/>
    </row>
    <row r="750" spans="5:7" ht="18" customHeight="1">
      <c r="E750" s="14"/>
      <c r="G750" s="14"/>
    </row>
    <row r="751" spans="5:7" ht="18" customHeight="1">
      <c r="E751" s="14"/>
      <c r="G751" s="14"/>
    </row>
    <row r="752" spans="5:7" ht="18" customHeight="1">
      <c r="E752" s="14"/>
      <c r="G752" s="14"/>
    </row>
    <row r="753" spans="5:7" ht="18" customHeight="1">
      <c r="E753" s="14"/>
      <c r="G753" s="14"/>
    </row>
    <row r="754" spans="5:7" ht="18" customHeight="1">
      <c r="E754" s="14"/>
      <c r="G754" s="14"/>
    </row>
    <row r="755" spans="5:7" ht="18" customHeight="1">
      <c r="E755" s="14"/>
      <c r="G755" s="14"/>
    </row>
    <row r="756" spans="5:7" ht="18" customHeight="1">
      <c r="E756" s="14"/>
      <c r="G756" s="14"/>
    </row>
    <row r="757" spans="5:7" ht="18" customHeight="1">
      <c r="E757" s="14"/>
      <c r="G757" s="14"/>
    </row>
    <row r="758" spans="5:7" ht="18" customHeight="1">
      <c r="E758" s="14"/>
      <c r="G758" s="14"/>
    </row>
    <row r="759" spans="5:7" ht="18" customHeight="1">
      <c r="E759" s="14"/>
      <c r="G759" s="14"/>
    </row>
    <row r="760" spans="5:7" ht="18" customHeight="1">
      <c r="E760" s="14"/>
      <c r="G760" s="14"/>
    </row>
    <row r="761" spans="5:7" ht="18" customHeight="1">
      <c r="E761" s="14"/>
      <c r="G761" s="14"/>
    </row>
    <row r="762" spans="5:7" ht="18" customHeight="1">
      <c r="E762" s="14"/>
      <c r="G762" s="14"/>
    </row>
    <row r="763" spans="5:7" ht="18" customHeight="1">
      <c r="E763" s="14"/>
      <c r="G763" s="14"/>
    </row>
    <row r="764" spans="5:7" ht="18" customHeight="1">
      <c r="E764" s="14"/>
      <c r="G764" s="14"/>
    </row>
    <row r="765" spans="5:7" ht="18" customHeight="1">
      <c r="E765" s="14"/>
      <c r="G765" s="14"/>
    </row>
    <row r="766" spans="5:7" ht="18" customHeight="1">
      <c r="E766" s="14"/>
      <c r="G766" s="14"/>
    </row>
    <row r="767" spans="5:7" ht="18" customHeight="1">
      <c r="E767" s="14"/>
      <c r="G767" s="14"/>
    </row>
    <row r="768" spans="5:7" ht="18" customHeight="1">
      <c r="E768" s="14"/>
      <c r="G768" s="14"/>
    </row>
    <row r="769" spans="5:7" ht="18" customHeight="1">
      <c r="E769" s="14"/>
      <c r="G769" s="14"/>
    </row>
    <row r="770" spans="5:7" ht="18" customHeight="1">
      <c r="E770" s="14"/>
      <c r="G770" s="14"/>
    </row>
    <row r="771" spans="5:7" ht="18" customHeight="1">
      <c r="E771" s="14"/>
      <c r="G771" s="14"/>
    </row>
    <row r="772" spans="5:7" ht="18" customHeight="1">
      <c r="E772" s="14"/>
      <c r="G772" s="14"/>
    </row>
    <row r="773" spans="5:7" ht="18" customHeight="1">
      <c r="E773" s="14"/>
      <c r="G773" s="14"/>
    </row>
    <row r="774" spans="5:7" ht="18" customHeight="1">
      <c r="E774" s="14"/>
      <c r="G774" s="14"/>
    </row>
    <row r="775" spans="5:7" ht="18" customHeight="1">
      <c r="E775" s="14"/>
      <c r="G775" s="14"/>
    </row>
    <row r="776" spans="5:7" ht="18" customHeight="1">
      <c r="E776" s="14"/>
      <c r="G776" s="14"/>
    </row>
    <row r="777" spans="5:7" ht="18" customHeight="1">
      <c r="E777" s="14"/>
      <c r="G777" s="14"/>
    </row>
    <row r="778" spans="5:7" ht="18" customHeight="1">
      <c r="E778" s="14"/>
      <c r="G778" s="14"/>
    </row>
    <row r="779" spans="5:7" ht="18" customHeight="1">
      <c r="E779" s="14"/>
      <c r="G779" s="14"/>
    </row>
    <row r="780" spans="5:7" ht="18" customHeight="1">
      <c r="E780" s="14"/>
      <c r="G780" s="14"/>
    </row>
    <row r="781" spans="5:7" ht="18" customHeight="1">
      <c r="E781" s="14"/>
      <c r="G781" s="14"/>
    </row>
    <row r="782" spans="5:7" ht="18" customHeight="1">
      <c r="E782" s="14"/>
      <c r="G782" s="14"/>
    </row>
    <row r="783" spans="5:7" ht="18" customHeight="1">
      <c r="E783" s="14"/>
      <c r="G783" s="14"/>
    </row>
    <row r="784" spans="5:7" ht="18" customHeight="1">
      <c r="E784" s="14"/>
      <c r="G784" s="14"/>
    </row>
    <row r="785" spans="5:7" ht="18" customHeight="1">
      <c r="E785" s="14"/>
      <c r="G785" s="14"/>
    </row>
    <row r="786" spans="5:7" ht="18" customHeight="1">
      <c r="E786" s="14"/>
      <c r="G786" s="14"/>
    </row>
    <row r="787" spans="5:7" ht="18" customHeight="1">
      <c r="E787" s="14"/>
      <c r="G787" s="14"/>
    </row>
    <row r="788" spans="5:7" ht="18" customHeight="1">
      <c r="E788" s="14"/>
      <c r="G788" s="14"/>
    </row>
    <row r="789" spans="5:7" ht="18" customHeight="1">
      <c r="E789" s="14"/>
      <c r="G789" s="14"/>
    </row>
    <row r="790" spans="5:7" ht="18" customHeight="1">
      <c r="E790" s="14"/>
      <c r="G790" s="14"/>
    </row>
    <row r="791" spans="5:7" ht="18" customHeight="1">
      <c r="E791" s="14"/>
      <c r="G791" s="14"/>
    </row>
    <row r="792" spans="5:7" ht="18" customHeight="1">
      <c r="E792" s="14"/>
      <c r="G792" s="14"/>
    </row>
    <row r="793" spans="5:7" ht="18" customHeight="1">
      <c r="E793" s="14"/>
      <c r="G793" s="14"/>
    </row>
    <row r="794" spans="5:7" ht="18" customHeight="1">
      <c r="E794" s="14"/>
      <c r="G794" s="14"/>
    </row>
    <row r="795" spans="5:7" ht="18" customHeight="1">
      <c r="E795" s="14"/>
      <c r="G795" s="14"/>
    </row>
    <row r="796" spans="5:7" ht="18" customHeight="1">
      <c r="E796" s="14"/>
      <c r="G796" s="14"/>
    </row>
    <row r="797" spans="5:7" ht="18" customHeight="1">
      <c r="E797" s="14"/>
      <c r="G797" s="14"/>
    </row>
    <row r="798" spans="5:7" ht="18" customHeight="1">
      <c r="E798" s="14"/>
      <c r="G798" s="14"/>
    </row>
    <row r="799" spans="5:7" ht="18" customHeight="1">
      <c r="E799" s="14"/>
      <c r="G799" s="14"/>
    </row>
    <row r="800" spans="5:7" ht="18" customHeight="1">
      <c r="E800" s="14"/>
      <c r="G800" s="14"/>
    </row>
    <row r="801" spans="5:7" ht="18" customHeight="1">
      <c r="E801" s="14"/>
      <c r="G801" s="14"/>
    </row>
    <row r="802" spans="5:7" ht="18" customHeight="1">
      <c r="E802" s="14"/>
      <c r="G802" s="14"/>
    </row>
    <row r="803" spans="5:7" ht="18" customHeight="1">
      <c r="E803" s="14"/>
      <c r="G803" s="14"/>
    </row>
    <row r="804" spans="5:7" ht="18" customHeight="1">
      <c r="E804" s="14"/>
      <c r="G804" s="14"/>
    </row>
    <row r="805" spans="5:7" ht="18" customHeight="1">
      <c r="E805" s="14"/>
      <c r="G805" s="14"/>
    </row>
    <row r="806" spans="5:7" ht="18" customHeight="1">
      <c r="E806" s="14"/>
      <c r="G806" s="14"/>
    </row>
    <row r="807" spans="5:7" ht="18" customHeight="1">
      <c r="E807" s="14"/>
      <c r="G807" s="14"/>
    </row>
    <row r="808" spans="5:7" ht="18" customHeight="1">
      <c r="E808" s="14"/>
      <c r="G808" s="14"/>
    </row>
    <row r="809" spans="5:7" ht="18" customHeight="1">
      <c r="E809" s="14"/>
      <c r="G809" s="14"/>
    </row>
    <row r="810" spans="5:7" ht="18" customHeight="1">
      <c r="E810" s="14"/>
      <c r="G810" s="14"/>
    </row>
    <row r="811" spans="5:7" ht="18" customHeight="1">
      <c r="E811" s="14"/>
      <c r="G811" s="14"/>
    </row>
    <row r="812" spans="5:7" ht="18" customHeight="1">
      <c r="E812" s="14"/>
      <c r="G812" s="14"/>
    </row>
    <row r="813" spans="5:7" ht="18" customHeight="1">
      <c r="E813" s="14"/>
      <c r="G813" s="14"/>
    </row>
    <row r="814" spans="5:7" ht="18" customHeight="1">
      <c r="E814" s="14"/>
      <c r="G814" s="14"/>
    </row>
    <row r="815" spans="5:7" ht="18" customHeight="1">
      <c r="E815" s="14"/>
      <c r="G815" s="14"/>
    </row>
    <row r="816" spans="5:7" ht="18" customHeight="1">
      <c r="E816" s="14"/>
      <c r="G816" s="14"/>
    </row>
    <row r="817" spans="5:7" ht="18" customHeight="1">
      <c r="E817" s="14"/>
      <c r="G817" s="14"/>
    </row>
    <row r="818" spans="5:7" ht="18" customHeight="1">
      <c r="E818" s="14"/>
      <c r="G818" s="14"/>
    </row>
    <row r="819" spans="5:7" ht="18" customHeight="1">
      <c r="E819" s="14"/>
      <c r="G819" s="14"/>
    </row>
    <row r="820" spans="5:7" ht="18" customHeight="1">
      <c r="E820" s="14"/>
      <c r="G820" s="14"/>
    </row>
    <row r="821" spans="5:7" ht="18" customHeight="1">
      <c r="E821" s="14"/>
      <c r="G821" s="14"/>
    </row>
    <row r="822" spans="5:7" ht="18" customHeight="1">
      <c r="E822" s="14"/>
      <c r="G822" s="14"/>
    </row>
    <row r="823" spans="5:7" ht="18" customHeight="1">
      <c r="E823" s="14"/>
      <c r="G823" s="14"/>
    </row>
    <row r="824" spans="5:7" ht="18" customHeight="1">
      <c r="E824" s="14"/>
      <c r="G824" s="14"/>
    </row>
    <row r="825" spans="5:7" ht="18" customHeight="1">
      <c r="E825" s="14"/>
      <c r="G825" s="14"/>
    </row>
    <row r="826" spans="5:7" ht="18" customHeight="1">
      <c r="E826" s="14"/>
      <c r="G826" s="14"/>
    </row>
    <row r="827" spans="5:7" ht="18" customHeight="1">
      <c r="E827" s="14"/>
      <c r="G827" s="14"/>
    </row>
    <row r="828" spans="5:7" ht="18" customHeight="1">
      <c r="E828" s="14"/>
      <c r="G828" s="14"/>
    </row>
    <row r="829" spans="5:7" ht="18" customHeight="1">
      <c r="E829" s="14"/>
      <c r="G829" s="14"/>
    </row>
    <row r="830" spans="5:7" ht="18" customHeight="1">
      <c r="E830" s="14"/>
      <c r="G830" s="14"/>
    </row>
    <row r="831" spans="5:7" ht="18" customHeight="1">
      <c r="E831" s="14"/>
      <c r="G831" s="14"/>
    </row>
    <row r="832" spans="5:7" ht="18" customHeight="1">
      <c r="E832" s="14"/>
      <c r="G832" s="14"/>
    </row>
    <row r="833" spans="5:7" ht="18" customHeight="1">
      <c r="E833" s="14"/>
      <c r="G833" s="14"/>
    </row>
    <row r="834" spans="5:7" ht="18" customHeight="1">
      <c r="E834" s="14"/>
      <c r="G834" s="14"/>
    </row>
    <row r="835" spans="5:7" ht="18" customHeight="1">
      <c r="E835" s="14"/>
      <c r="G835" s="14"/>
    </row>
    <row r="836" spans="5:7" ht="18" customHeight="1">
      <c r="E836" s="14"/>
      <c r="G836" s="14"/>
    </row>
    <row r="837" spans="5:7" ht="18" customHeight="1">
      <c r="E837" s="14"/>
      <c r="G837" s="14"/>
    </row>
    <row r="838" spans="5:7" ht="18" customHeight="1">
      <c r="E838" s="14"/>
      <c r="G838" s="14"/>
    </row>
    <row r="839" spans="5:7" ht="18" customHeight="1">
      <c r="E839" s="14"/>
      <c r="G839" s="14"/>
    </row>
    <row r="840" spans="5:7" ht="18" customHeight="1">
      <c r="E840" s="14"/>
      <c r="G840" s="14"/>
    </row>
    <row r="841" spans="5:7" ht="18" customHeight="1">
      <c r="E841" s="14"/>
      <c r="G841" s="14"/>
    </row>
    <row r="842" spans="5:7" ht="18" customHeight="1">
      <c r="E842" s="14"/>
      <c r="G842" s="14"/>
    </row>
    <row r="843" spans="5:7" ht="18" customHeight="1">
      <c r="E843" s="14"/>
      <c r="G843" s="14"/>
    </row>
    <row r="844" spans="5:7" ht="18" customHeight="1">
      <c r="E844" s="14"/>
      <c r="G844" s="14"/>
    </row>
    <row r="845" spans="5:7" ht="18" customHeight="1">
      <c r="E845" s="14"/>
      <c r="G845" s="14"/>
    </row>
    <row r="846" spans="5:7" ht="18" customHeight="1">
      <c r="E846" s="14"/>
      <c r="G846" s="14"/>
    </row>
    <row r="847" spans="5:7" ht="18" customHeight="1">
      <c r="E847" s="14"/>
      <c r="G847" s="14"/>
    </row>
    <row r="848" spans="5:7" ht="18" customHeight="1">
      <c r="E848" s="14"/>
      <c r="G848" s="14"/>
    </row>
    <row r="849" spans="5:7" ht="18" customHeight="1">
      <c r="E849" s="14"/>
      <c r="G849" s="14"/>
    </row>
    <row r="850" spans="5:7" ht="18" customHeight="1">
      <c r="E850" s="14"/>
      <c r="G850" s="14"/>
    </row>
    <row r="851" spans="5:7" ht="18" customHeight="1">
      <c r="E851" s="14"/>
      <c r="G851" s="14"/>
    </row>
    <row r="852" spans="5:7" ht="18" customHeight="1">
      <c r="E852" s="14"/>
      <c r="G852" s="14"/>
    </row>
    <row r="853" spans="5:7" ht="18" customHeight="1">
      <c r="E853" s="14"/>
      <c r="G853" s="14"/>
    </row>
    <row r="854" spans="5:7" ht="18" customHeight="1">
      <c r="E854" s="14"/>
      <c r="G854" s="14"/>
    </row>
    <row r="855" spans="5:7" ht="18" customHeight="1">
      <c r="E855" s="14"/>
      <c r="G855" s="14"/>
    </row>
    <row r="856" spans="5:7" ht="18" customHeight="1">
      <c r="E856" s="14"/>
      <c r="G856" s="14"/>
    </row>
    <row r="857" spans="5:7" ht="18" customHeight="1">
      <c r="E857" s="14"/>
      <c r="G857" s="14"/>
    </row>
    <row r="858" spans="5:7" ht="18" customHeight="1">
      <c r="E858" s="14"/>
      <c r="G858" s="14"/>
    </row>
    <row r="859" spans="5:7" ht="18" customHeight="1">
      <c r="E859" s="14"/>
      <c r="G859" s="14"/>
    </row>
    <row r="860" spans="5:7" ht="18" customHeight="1">
      <c r="E860" s="14"/>
      <c r="G860" s="14"/>
    </row>
    <row r="861" spans="5:7" ht="18" customHeight="1">
      <c r="E861" s="14"/>
      <c r="G861" s="14"/>
    </row>
    <row r="862" spans="5:7" ht="18" customHeight="1">
      <c r="E862" s="14"/>
      <c r="G862" s="14"/>
    </row>
    <row r="863" spans="5:7" ht="18" customHeight="1">
      <c r="E863" s="14"/>
      <c r="G863" s="14"/>
    </row>
    <row r="864" spans="5:7" ht="18" customHeight="1">
      <c r="E864" s="14"/>
      <c r="G864" s="14"/>
    </row>
    <row r="865" spans="5:7" ht="18" customHeight="1">
      <c r="E865" s="14"/>
      <c r="G865" s="14"/>
    </row>
    <row r="866" spans="5:7" ht="18" customHeight="1">
      <c r="E866" s="14"/>
      <c r="G866" s="14"/>
    </row>
    <row r="867" spans="5:7" ht="18" customHeight="1">
      <c r="E867" s="14"/>
      <c r="G867" s="14"/>
    </row>
    <row r="868" spans="5:7" ht="18" customHeight="1">
      <c r="E868" s="14"/>
      <c r="G868" s="14"/>
    </row>
    <row r="869" spans="5:7" ht="18" customHeight="1">
      <c r="E869" s="14"/>
      <c r="G869" s="14"/>
    </row>
    <row r="870" spans="5:7" ht="18" customHeight="1">
      <c r="E870" s="14"/>
      <c r="G870" s="14"/>
    </row>
    <row r="871" spans="5:7" ht="18" customHeight="1">
      <c r="E871" s="14"/>
      <c r="G871" s="14"/>
    </row>
    <row r="872" spans="5:7" ht="18" customHeight="1">
      <c r="E872" s="14"/>
      <c r="G872" s="14"/>
    </row>
    <row r="873" spans="5:7" ht="18" customHeight="1">
      <c r="E873" s="14"/>
      <c r="G873" s="14"/>
    </row>
    <row r="874" spans="5:7" ht="18" customHeight="1">
      <c r="E874" s="14"/>
      <c r="G874" s="14"/>
    </row>
    <row r="875" spans="5:7" ht="18" customHeight="1">
      <c r="E875" s="14"/>
      <c r="G875" s="14"/>
    </row>
    <row r="876" spans="5:7" ht="18" customHeight="1">
      <c r="E876" s="14"/>
      <c r="G876" s="14"/>
    </row>
    <row r="877" spans="5:7" ht="18" customHeight="1">
      <c r="E877" s="14"/>
      <c r="G877" s="14"/>
    </row>
    <row r="878" spans="5:7" ht="18" customHeight="1">
      <c r="E878" s="14"/>
      <c r="G878" s="14"/>
    </row>
    <row r="879" spans="5:7" ht="18" customHeight="1">
      <c r="E879" s="14"/>
      <c r="G879" s="14"/>
    </row>
    <row r="880" spans="5:7" ht="18" customHeight="1">
      <c r="E880" s="14"/>
      <c r="G880" s="14"/>
    </row>
    <row r="881" spans="5:7" ht="18" customHeight="1">
      <c r="E881" s="14"/>
      <c r="G881" s="14"/>
    </row>
    <row r="882" spans="5:7" ht="18" customHeight="1">
      <c r="E882" s="14"/>
      <c r="G882" s="14"/>
    </row>
    <row r="883" spans="5:7" ht="18" customHeight="1">
      <c r="E883" s="14"/>
      <c r="G883" s="14"/>
    </row>
    <row r="884" spans="5:7" ht="18" customHeight="1">
      <c r="E884" s="14"/>
      <c r="G884" s="14"/>
    </row>
    <row r="885" spans="5:7" ht="18" customHeight="1">
      <c r="E885" s="14"/>
      <c r="G885" s="14"/>
    </row>
    <row r="886" spans="5:7" ht="18" customHeight="1">
      <c r="E886" s="14"/>
      <c r="G886" s="14"/>
    </row>
    <row r="887" spans="5:7" ht="18" customHeight="1">
      <c r="E887" s="14"/>
      <c r="G887" s="14"/>
    </row>
    <row r="888" spans="5:7" ht="18" customHeight="1">
      <c r="E888" s="14"/>
      <c r="G888" s="14"/>
    </row>
    <row r="889" spans="5:7" ht="18" customHeight="1">
      <c r="E889" s="14"/>
      <c r="G889" s="14"/>
    </row>
    <row r="890" spans="5:7" ht="18" customHeight="1">
      <c r="E890" s="14"/>
      <c r="G890" s="14"/>
    </row>
    <row r="891" spans="5:7" ht="18" customHeight="1">
      <c r="E891" s="14"/>
      <c r="G891" s="14"/>
    </row>
    <row r="892" spans="5:7" ht="18" customHeight="1">
      <c r="E892" s="14"/>
      <c r="G892" s="14"/>
    </row>
    <row r="893" spans="5:7" ht="18" customHeight="1">
      <c r="E893" s="14"/>
      <c r="G893" s="14"/>
    </row>
    <row r="894" spans="5:7" ht="18" customHeight="1">
      <c r="E894" s="14"/>
      <c r="G894" s="14"/>
    </row>
    <row r="895" spans="5:7" ht="18" customHeight="1">
      <c r="E895" s="14"/>
      <c r="G895" s="14"/>
    </row>
    <row r="896" spans="5:7" ht="18" customHeight="1">
      <c r="E896" s="14"/>
      <c r="G896" s="14"/>
    </row>
    <row r="897" spans="5:7" ht="18" customHeight="1">
      <c r="E897" s="14"/>
      <c r="G897" s="14"/>
    </row>
    <row r="898" spans="5:7" ht="18" customHeight="1">
      <c r="E898" s="14"/>
      <c r="G898" s="14"/>
    </row>
    <row r="899" spans="5:7" ht="18" customHeight="1">
      <c r="E899" s="14"/>
      <c r="G899" s="14"/>
    </row>
    <row r="900" spans="5:7" ht="18" customHeight="1">
      <c r="E900" s="14"/>
      <c r="G900" s="14"/>
    </row>
    <row r="901" spans="5:7" ht="18" customHeight="1">
      <c r="E901" s="14"/>
      <c r="G901" s="14"/>
    </row>
    <row r="902" spans="5:7" ht="18" customHeight="1">
      <c r="E902" s="14"/>
      <c r="G902" s="14"/>
    </row>
    <row r="903" spans="5:7" ht="18" customHeight="1">
      <c r="E903" s="14"/>
      <c r="G903" s="14"/>
    </row>
    <row r="904" spans="5:7" ht="18" customHeight="1">
      <c r="E904" s="14"/>
      <c r="G904" s="14"/>
    </row>
    <row r="905" spans="5:7" ht="18" customHeight="1">
      <c r="E905" s="14"/>
      <c r="G905" s="14"/>
    </row>
    <row r="906" spans="5:7" ht="18" customHeight="1">
      <c r="E906" s="14"/>
      <c r="G906" s="14"/>
    </row>
    <row r="907" spans="5:7" ht="18" customHeight="1">
      <c r="E907" s="14"/>
      <c r="G907" s="14"/>
    </row>
    <row r="908" spans="5:7" ht="18" customHeight="1">
      <c r="E908" s="14"/>
      <c r="G908" s="14"/>
    </row>
    <row r="909" spans="5:7" ht="18" customHeight="1">
      <c r="E909" s="14"/>
      <c r="G909" s="14"/>
    </row>
    <row r="910" spans="5:7" ht="18" customHeight="1">
      <c r="E910" s="14"/>
      <c r="G910" s="14"/>
    </row>
    <row r="911" spans="5:7" ht="18" customHeight="1">
      <c r="E911" s="14"/>
      <c r="G911" s="14"/>
    </row>
    <row r="912" spans="5:7" ht="18" customHeight="1">
      <c r="E912" s="14"/>
      <c r="G912" s="14"/>
    </row>
    <row r="913" spans="5:7" ht="18" customHeight="1">
      <c r="E913" s="14"/>
      <c r="G913" s="14"/>
    </row>
    <row r="914" spans="5:7" ht="18" customHeight="1">
      <c r="E914" s="14"/>
      <c r="G914" s="14"/>
    </row>
    <row r="915" spans="5:7" ht="18" customHeight="1">
      <c r="E915" s="14"/>
      <c r="G915" s="14"/>
    </row>
    <row r="916" spans="5:7" ht="18" customHeight="1">
      <c r="E916" s="14"/>
      <c r="G916" s="14"/>
    </row>
    <row r="917" spans="5:7" ht="18" customHeight="1">
      <c r="E917" s="14"/>
      <c r="G917" s="14"/>
    </row>
    <row r="918" spans="5:7" ht="18" customHeight="1">
      <c r="E918" s="14"/>
      <c r="G918" s="14"/>
    </row>
    <row r="919" spans="5:7" ht="18" customHeight="1">
      <c r="E919" s="14"/>
      <c r="G919" s="14"/>
    </row>
    <row r="920" spans="5:7" ht="18" customHeight="1">
      <c r="E920" s="14"/>
      <c r="G920" s="14"/>
    </row>
    <row r="921" spans="5:7" ht="18" customHeight="1">
      <c r="E921" s="14"/>
      <c r="G921" s="14"/>
    </row>
    <row r="922" spans="5:7" ht="18" customHeight="1">
      <c r="E922" s="14"/>
      <c r="G922" s="14"/>
    </row>
    <row r="923" spans="5:7" ht="18" customHeight="1">
      <c r="E923" s="14"/>
      <c r="G923" s="14"/>
    </row>
    <row r="924" spans="5:7" ht="18" customHeight="1">
      <c r="E924" s="14"/>
      <c r="G924" s="14"/>
    </row>
    <row r="925" spans="5:7" ht="18" customHeight="1">
      <c r="E925" s="14"/>
      <c r="G925" s="14"/>
    </row>
    <row r="926" spans="5:7" ht="18" customHeight="1">
      <c r="E926" s="14"/>
      <c r="G926" s="14"/>
    </row>
    <row r="927" spans="5:7" ht="18" customHeight="1">
      <c r="E927" s="14"/>
      <c r="G927" s="14"/>
    </row>
    <row r="928" spans="5:7" ht="18" customHeight="1">
      <c r="E928" s="14"/>
      <c r="G928" s="14"/>
    </row>
    <row r="929" spans="5:7" ht="18" customHeight="1">
      <c r="E929" s="14"/>
      <c r="G929" s="14"/>
    </row>
    <row r="930" spans="5:7" ht="18" customHeight="1">
      <c r="E930" s="14"/>
      <c r="G930" s="14"/>
    </row>
    <row r="931" spans="5:7" ht="18" customHeight="1">
      <c r="E931" s="14"/>
      <c r="G931" s="14"/>
    </row>
    <row r="932" spans="5:7" ht="18" customHeight="1">
      <c r="E932" s="14"/>
      <c r="G932" s="14"/>
    </row>
    <row r="933" spans="5:7" ht="18" customHeight="1">
      <c r="E933" s="14"/>
      <c r="G933" s="14"/>
    </row>
    <row r="934" spans="5:7" ht="18" customHeight="1">
      <c r="E934" s="14"/>
      <c r="G934" s="14"/>
    </row>
    <row r="935" spans="5:7" ht="18" customHeight="1">
      <c r="E935" s="14"/>
      <c r="G935" s="14"/>
    </row>
    <row r="936" spans="5:7" ht="18" customHeight="1">
      <c r="E936" s="14"/>
      <c r="G936" s="14"/>
    </row>
    <row r="937" spans="5:7" ht="18" customHeight="1">
      <c r="E937" s="14"/>
      <c r="G937" s="14"/>
    </row>
    <row r="938" spans="5:7" ht="18" customHeight="1">
      <c r="E938" s="14"/>
      <c r="G938" s="14"/>
    </row>
    <row r="939" spans="5:7" ht="18" customHeight="1">
      <c r="E939" s="14"/>
      <c r="G939" s="14"/>
    </row>
    <row r="940" spans="5:7" ht="18" customHeight="1">
      <c r="E940" s="14"/>
      <c r="G940" s="14"/>
    </row>
    <row r="941" spans="5:7" ht="18" customHeight="1">
      <c r="E941" s="14"/>
      <c r="G941" s="14"/>
    </row>
    <row r="942" spans="5:7" ht="18" customHeight="1">
      <c r="E942" s="14"/>
      <c r="G942" s="14"/>
    </row>
    <row r="943" spans="5:7" ht="18" customHeight="1">
      <c r="E943" s="14"/>
      <c r="G943" s="14"/>
    </row>
    <row r="944" spans="5:7" ht="18" customHeight="1">
      <c r="E944" s="14"/>
      <c r="G944" s="14"/>
    </row>
    <row r="945" spans="5:7" ht="18" customHeight="1">
      <c r="E945" s="14"/>
      <c r="G945" s="14"/>
    </row>
    <row r="946" spans="5:7" ht="18" customHeight="1">
      <c r="E946" s="14"/>
      <c r="G946" s="14"/>
    </row>
    <row r="947" spans="5:7" ht="18" customHeight="1">
      <c r="E947" s="14"/>
      <c r="G947" s="14"/>
    </row>
    <row r="948" spans="5:7" ht="18" customHeight="1">
      <c r="E948" s="14"/>
      <c r="G948" s="14"/>
    </row>
    <row r="949" spans="5:7" ht="18" customHeight="1">
      <c r="E949" s="14"/>
      <c r="G949" s="14"/>
    </row>
    <row r="950" spans="5:7" ht="18" customHeight="1">
      <c r="E950" s="14"/>
      <c r="G950" s="14"/>
    </row>
    <row r="951" spans="5:7" ht="18" customHeight="1">
      <c r="E951" s="14"/>
      <c r="G951" s="14"/>
    </row>
    <row r="952" spans="5:7" ht="18" customHeight="1">
      <c r="E952" s="14"/>
      <c r="G952" s="14"/>
    </row>
    <row r="953" spans="5:7" ht="18" customHeight="1">
      <c r="E953" s="14"/>
      <c r="G953" s="14"/>
    </row>
    <row r="954" spans="5:7" ht="18" customHeight="1">
      <c r="E954" s="14"/>
      <c r="G954" s="14"/>
    </row>
    <row r="955" spans="5:7" ht="18" customHeight="1">
      <c r="E955" s="14"/>
      <c r="G955" s="14"/>
    </row>
    <row r="956" spans="5:7" ht="18" customHeight="1">
      <c r="E956" s="14"/>
      <c r="G956" s="14"/>
    </row>
    <row r="957" spans="5:7" ht="18" customHeight="1">
      <c r="E957" s="14"/>
      <c r="G957" s="14"/>
    </row>
    <row r="958" spans="5:7" ht="18" customHeight="1">
      <c r="E958" s="14"/>
      <c r="G958" s="14"/>
    </row>
    <row r="959" spans="5:7" ht="18" customHeight="1">
      <c r="E959" s="14"/>
      <c r="G959" s="14"/>
    </row>
    <row r="960" spans="5:7" ht="18" customHeight="1">
      <c r="E960" s="14"/>
      <c r="G960" s="14"/>
    </row>
    <row r="961" spans="5:7" ht="18" customHeight="1">
      <c r="E961" s="14"/>
      <c r="G961" s="14"/>
    </row>
    <row r="962" spans="5:7" ht="18" customHeight="1">
      <c r="E962" s="14"/>
      <c r="G962" s="14"/>
    </row>
    <row r="963" spans="5:7" ht="18" customHeight="1">
      <c r="E963" s="14"/>
      <c r="G963" s="14"/>
    </row>
    <row r="964" spans="5:7" ht="18" customHeight="1">
      <c r="E964" s="14"/>
      <c r="G964" s="14"/>
    </row>
    <row r="965" spans="5:7" ht="18" customHeight="1">
      <c r="E965" s="14"/>
      <c r="G965" s="14"/>
    </row>
    <row r="966" spans="5:7" ht="18" customHeight="1">
      <c r="E966" s="14"/>
      <c r="G966" s="14"/>
    </row>
    <row r="967" spans="5:7" ht="18" customHeight="1">
      <c r="E967" s="14"/>
      <c r="G967" s="14"/>
    </row>
    <row r="968" spans="5:7" ht="18" customHeight="1">
      <c r="E968" s="14"/>
      <c r="G968" s="14"/>
    </row>
    <row r="969" spans="5:7" ht="18" customHeight="1">
      <c r="E969" s="14"/>
      <c r="G969" s="14"/>
    </row>
    <row r="970" spans="5:7" ht="18" customHeight="1">
      <c r="E970" s="14"/>
      <c r="G970" s="14"/>
    </row>
    <row r="971" spans="5:7" ht="18" customHeight="1">
      <c r="E971" s="14"/>
      <c r="G971" s="14"/>
    </row>
    <row r="972" spans="5:7" ht="18" customHeight="1">
      <c r="E972" s="14"/>
      <c r="G972" s="14"/>
    </row>
    <row r="973" spans="5:7" ht="18" customHeight="1">
      <c r="E973" s="14"/>
      <c r="G973" s="14"/>
    </row>
    <row r="974" spans="5:7" ht="18" customHeight="1">
      <c r="E974" s="14"/>
      <c r="G974" s="14"/>
    </row>
    <row r="975" spans="5:7" ht="18" customHeight="1">
      <c r="E975" s="14"/>
      <c r="G975" s="14"/>
    </row>
    <row r="976" spans="5:7" ht="18" customHeight="1">
      <c r="E976" s="14"/>
      <c r="G976" s="14"/>
    </row>
    <row r="977" spans="5:7" ht="18" customHeight="1">
      <c r="E977" s="14"/>
      <c r="G977" s="14"/>
    </row>
    <row r="978" spans="5:7" ht="18" customHeight="1">
      <c r="E978" s="14"/>
      <c r="G978" s="14"/>
    </row>
    <row r="979" spans="5:7" ht="18" customHeight="1">
      <c r="E979" s="14"/>
      <c r="G979" s="14"/>
    </row>
    <row r="980" spans="5:7" ht="18" customHeight="1">
      <c r="E980" s="14"/>
      <c r="G980" s="14"/>
    </row>
    <row r="981" spans="5:7" ht="18" customHeight="1">
      <c r="E981" s="14"/>
      <c r="G981" s="14"/>
    </row>
    <row r="982" spans="5:7" ht="18" customHeight="1">
      <c r="E982" s="14"/>
      <c r="G982" s="14"/>
    </row>
    <row r="983" spans="5:7" ht="18" customHeight="1">
      <c r="E983" s="14"/>
      <c r="G983" s="14"/>
    </row>
    <row r="984" spans="5:7" ht="18" customHeight="1">
      <c r="E984" s="14"/>
      <c r="G984" s="14"/>
    </row>
    <row r="985" spans="5:7" ht="18" customHeight="1">
      <c r="E985" s="14"/>
      <c r="G985" s="14"/>
    </row>
    <row r="986" spans="5:7" ht="18" customHeight="1">
      <c r="E986" s="14"/>
      <c r="G986" s="14"/>
    </row>
    <row r="987" spans="5:7" ht="18" customHeight="1">
      <c r="E987" s="14"/>
      <c r="G987" s="14"/>
    </row>
    <row r="988" spans="5:7" ht="18" customHeight="1">
      <c r="E988" s="14"/>
      <c r="G988" s="14"/>
    </row>
    <row r="989" spans="5:7" ht="18" customHeight="1">
      <c r="E989" s="14"/>
      <c r="G989" s="14"/>
    </row>
    <row r="990" spans="5:7" ht="18" customHeight="1">
      <c r="E990" s="14"/>
      <c r="G990" s="14"/>
    </row>
    <row r="991" spans="5:7" ht="18" customHeight="1">
      <c r="E991" s="14"/>
      <c r="G991" s="14"/>
    </row>
    <row r="992" spans="5:7" ht="18" customHeight="1">
      <c r="E992" s="14"/>
      <c r="G992" s="14"/>
    </row>
    <row r="993" spans="5:7" ht="18" customHeight="1">
      <c r="E993" s="14"/>
      <c r="G993" s="14"/>
    </row>
    <row r="994" spans="5:7" ht="18" customHeight="1">
      <c r="E994" s="14"/>
      <c r="G994" s="14"/>
    </row>
    <row r="995" spans="5:7" ht="18" customHeight="1">
      <c r="E995" s="14"/>
      <c r="G995" s="14"/>
    </row>
    <row r="996" spans="5:7" ht="18" customHeight="1">
      <c r="E996" s="14"/>
      <c r="G996" s="14"/>
    </row>
    <row r="997" spans="5:7" ht="18" customHeight="1">
      <c r="E997" s="14"/>
      <c r="G997" s="14"/>
    </row>
    <row r="998" spans="5:7" ht="18" customHeight="1">
      <c r="E998" s="14"/>
      <c r="G998" s="14"/>
    </row>
    <row r="999" spans="5:7" ht="18" customHeight="1">
      <c r="E999" s="14"/>
      <c r="G999" s="14"/>
    </row>
    <row r="1000" spans="5:7" ht="18" customHeight="1">
      <c r="E1000" s="14"/>
      <c r="G1000" s="14"/>
    </row>
  </sheetData>
  <phoneticPr fontId="3"/>
  <pageMargins left="0.43307086614173229" right="0.43307086614173229" top="0.35433070866141736" bottom="0.35433070866141736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入力規制!$A$2:$A$7</xm:f>
          </x14:formula1>
          <xm:sqref>B19:B38</xm:sqref>
        </x14:dataValidation>
        <x14:dataValidation type="list" allowBlank="1" showErrorMessage="1" xr:uid="{00000000-0002-0000-0100-000001000000}">
          <x14:formula1>
            <xm:f>入力規制!$A$10:$A$14</xm:f>
          </x14:formula1>
          <xm:sqref>B5:B14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G1000"/>
  <sheetViews>
    <sheetView workbookViewId="0"/>
  </sheetViews>
  <sheetFormatPr defaultColWidth="14.453125" defaultRowHeight="15" customHeight="1"/>
  <cols>
    <col min="1" max="1" width="4.81640625" customWidth="1"/>
    <col min="2" max="3" width="16.7265625" customWidth="1"/>
    <col min="4" max="4" width="20.81640625" customWidth="1"/>
    <col min="5" max="26" width="8.7265625" customWidth="1"/>
  </cols>
  <sheetData>
    <row r="1" spans="1:7" ht="18" customHeight="1">
      <c r="A1" s="13" t="s">
        <v>77</v>
      </c>
      <c r="E1" s="14"/>
      <c r="G1" s="14"/>
    </row>
    <row r="2" spans="1:7" ht="18" customHeight="1">
      <c r="A2" s="15" t="s">
        <v>2</v>
      </c>
      <c r="B2" s="15" t="s">
        <v>3</v>
      </c>
      <c r="C2" s="15" t="s">
        <v>25</v>
      </c>
      <c r="D2" s="15" t="s">
        <v>26</v>
      </c>
      <c r="E2" s="16" t="s">
        <v>27</v>
      </c>
      <c r="F2" s="15" t="s">
        <v>28</v>
      </c>
      <c r="G2" s="16" t="s">
        <v>29</v>
      </c>
    </row>
    <row r="3" spans="1:7" ht="18" customHeight="1">
      <c r="A3" s="17">
        <v>1</v>
      </c>
      <c r="B3" s="18" t="s">
        <v>8</v>
      </c>
      <c r="C3" s="18" t="s">
        <v>30</v>
      </c>
      <c r="D3" s="18" t="s">
        <v>31</v>
      </c>
      <c r="E3" s="19">
        <v>2000</v>
      </c>
      <c r="F3" s="18">
        <v>92</v>
      </c>
      <c r="G3" s="20">
        <f t="shared" ref="G3:G52" si="0">E3*F3</f>
        <v>184000</v>
      </c>
    </row>
    <row r="4" spans="1:7" ht="18" customHeight="1">
      <c r="A4" s="17">
        <v>2</v>
      </c>
      <c r="B4" s="18" t="s">
        <v>8</v>
      </c>
      <c r="C4" s="18" t="s">
        <v>30</v>
      </c>
      <c r="D4" s="18" t="s">
        <v>32</v>
      </c>
      <c r="E4" s="19">
        <v>2500</v>
      </c>
      <c r="F4" s="18">
        <v>51</v>
      </c>
      <c r="G4" s="20">
        <f t="shared" si="0"/>
        <v>127500</v>
      </c>
    </row>
    <row r="5" spans="1:7" ht="18" customHeight="1">
      <c r="A5" s="17">
        <v>3</v>
      </c>
      <c r="B5" s="18" t="s">
        <v>8</v>
      </c>
      <c r="C5" s="18" t="s">
        <v>33</v>
      </c>
      <c r="D5" s="18" t="s">
        <v>34</v>
      </c>
      <c r="E5" s="19">
        <v>1800</v>
      </c>
      <c r="F5" s="18">
        <v>60</v>
      </c>
      <c r="G5" s="20">
        <f t="shared" si="0"/>
        <v>108000</v>
      </c>
    </row>
    <row r="6" spans="1:7" ht="18" customHeight="1">
      <c r="A6" s="17">
        <v>4</v>
      </c>
      <c r="B6" s="18" t="s">
        <v>9</v>
      </c>
      <c r="C6" s="18" t="s">
        <v>35</v>
      </c>
      <c r="D6" s="18"/>
      <c r="E6" s="19">
        <v>50000</v>
      </c>
      <c r="F6" s="18">
        <v>1</v>
      </c>
      <c r="G6" s="20">
        <f t="shared" si="0"/>
        <v>50000</v>
      </c>
    </row>
    <row r="7" spans="1:7" ht="18" customHeight="1">
      <c r="A7" s="17">
        <v>5</v>
      </c>
      <c r="B7" s="18" t="s">
        <v>9</v>
      </c>
      <c r="C7" s="18" t="s">
        <v>36</v>
      </c>
      <c r="D7" s="18"/>
      <c r="E7" s="19">
        <v>25000</v>
      </c>
      <c r="F7" s="18">
        <v>3</v>
      </c>
      <c r="G7" s="20">
        <f t="shared" si="0"/>
        <v>75000</v>
      </c>
    </row>
    <row r="8" spans="1:7" ht="18" customHeight="1">
      <c r="A8" s="17">
        <v>6</v>
      </c>
      <c r="B8" s="18" t="s">
        <v>10</v>
      </c>
      <c r="C8" s="18" t="s">
        <v>37</v>
      </c>
      <c r="D8" s="18" t="s">
        <v>38</v>
      </c>
      <c r="E8" s="19">
        <v>5000</v>
      </c>
      <c r="F8" s="18">
        <v>5</v>
      </c>
      <c r="G8" s="20">
        <f t="shared" si="0"/>
        <v>25000</v>
      </c>
    </row>
    <row r="9" spans="1:7" ht="18" customHeight="1">
      <c r="A9" s="17">
        <v>7</v>
      </c>
      <c r="B9" s="18" t="s">
        <v>10</v>
      </c>
      <c r="C9" s="18" t="s">
        <v>39</v>
      </c>
      <c r="D9" s="18" t="s">
        <v>40</v>
      </c>
      <c r="E9" s="19">
        <v>10000</v>
      </c>
      <c r="F9" s="18">
        <v>3</v>
      </c>
      <c r="G9" s="20">
        <f t="shared" si="0"/>
        <v>30000</v>
      </c>
    </row>
    <row r="10" spans="1:7" ht="18" customHeight="1">
      <c r="A10" s="17">
        <v>8</v>
      </c>
      <c r="B10" s="18" t="s">
        <v>10</v>
      </c>
      <c r="C10" s="18" t="s">
        <v>41</v>
      </c>
      <c r="D10" s="18" t="s">
        <v>42</v>
      </c>
      <c r="E10" s="19">
        <v>15000</v>
      </c>
      <c r="F10" s="18">
        <v>2</v>
      </c>
      <c r="G10" s="20">
        <f t="shared" si="0"/>
        <v>30000</v>
      </c>
    </row>
    <row r="11" spans="1:7" ht="18" customHeight="1">
      <c r="A11" s="17">
        <v>9</v>
      </c>
      <c r="B11" s="18" t="s">
        <v>11</v>
      </c>
      <c r="C11" s="18" t="s">
        <v>43</v>
      </c>
      <c r="D11" s="18"/>
      <c r="E11" s="19">
        <v>500</v>
      </c>
      <c r="F11" s="18">
        <v>22</v>
      </c>
      <c r="G11" s="20">
        <f t="shared" si="0"/>
        <v>11000</v>
      </c>
    </row>
    <row r="12" spans="1:7" ht="18" customHeight="1">
      <c r="A12" s="17">
        <v>10</v>
      </c>
      <c r="B12" s="18" t="s">
        <v>11</v>
      </c>
      <c r="C12" s="18" t="s">
        <v>44</v>
      </c>
      <c r="D12" s="18"/>
      <c r="E12" s="19">
        <v>1000</v>
      </c>
      <c r="F12" s="18">
        <v>15</v>
      </c>
      <c r="G12" s="20">
        <f t="shared" si="0"/>
        <v>15000</v>
      </c>
    </row>
    <row r="13" spans="1:7" ht="18" customHeight="1">
      <c r="A13" s="17">
        <v>11</v>
      </c>
      <c r="B13" s="18" t="s">
        <v>12</v>
      </c>
      <c r="C13" s="18" t="s">
        <v>78</v>
      </c>
      <c r="D13" s="18" t="s">
        <v>79</v>
      </c>
      <c r="E13" s="19">
        <v>600</v>
      </c>
      <c r="F13" s="18">
        <v>1</v>
      </c>
      <c r="G13" s="20">
        <f t="shared" si="0"/>
        <v>600</v>
      </c>
    </row>
    <row r="14" spans="1:7" ht="18" customHeight="1">
      <c r="A14" s="17">
        <v>12</v>
      </c>
      <c r="B14" s="18"/>
      <c r="C14" s="18"/>
      <c r="D14" s="18"/>
      <c r="E14" s="19"/>
      <c r="F14" s="18"/>
      <c r="G14" s="20">
        <f t="shared" si="0"/>
        <v>0</v>
      </c>
    </row>
    <row r="15" spans="1:7" ht="18" customHeight="1">
      <c r="A15" s="17">
        <v>13</v>
      </c>
      <c r="B15" s="18"/>
      <c r="C15" s="18"/>
      <c r="D15" s="18"/>
      <c r="E15" s="19"/>
      <c r="F15" s="18"/>
      <c r="G15" s="20">
        <f t="shared" si="0"/>
        <v>0</v>
      </c>
    </row>
    <row r="16" spans="1:7" ht="18" customHeight="1">
      <c r="A16" s="17">
        <v>14</v>
      </c>
      <c r="B16" s="18"/>
      <c r="C16" s="18"/>
      <c r="D16" s="18"/>
      <c r="E16" s="19"/>
      <c r="F16" s="18"/>
      <c r="G16" s="20">
        <f t="shared" si="0"/>
        <v>0</v>
      </c>
    </row>
    <row r="17" spans="1:7" ht="18" customHeight="1">
      <c r="A17" s="17">
        <v>15</v>
      </c>
      <c r="B17" s="18"/>
      <c r="C17" s="18"/>
      <c r="D17" s="18"/>
      <c r="E17" s="19"/>
      <c r="F17" s="18"/>
      <c r="G17" s="20">
        <f t="shared" si="0"/>
        <v>0</v>
      </c>
    </row>
    <row r="18" spans="1:7" ht="18" customHeight="1">
      <c r="A18" s="17">
        <v>16</v>
      </c>
      <c r="B18" s="18"/>
      <c r="C18" s="18"/>
      <c r="D18" s="18"/>
      <c r="E18" s="19"/>
      <c r="F18" s="18"/>
      <c r="G18" s="20">
        <f t="shared" si="0"/>
        <v>0</v>
      </c>
    </row>
    <row r="19" spans="1:7" ht="18" customHeight="1">
      <c r="A19" s="17">
        <v>17</v>
      </c>
      <c r="B19" s="18"/>
      <c r="C19" s="18"/>
      <c r="D19" s="18"/>
      <c r="E19" s="19"/>
      <c r="F19" s="18"/>
      <c r="G19" s="20">
        <f t="shared" si="0"/>
        <v>0</v>
      </c>
    </row>
    <row r="20" spans="1:7" ht="18" customHeight="1">
      <c r="A20" s="17">
        <v>18</v>
      </c>
      <c r="B20" s="18"/>
      <c r="C20" s="18"/>
      <c r="D20" s="18"/>
      <c r="E20" s="19"/>
      <c r="F20" s="18"/>
      <c r="G20" s="20">
        <f t="shared" si="0"/>
        <v>0</v>
      </c>
    </row>
    <row r="21" spans="1:7" ht="18" customHeight="1">
      <c r="A21" s="17">
        <v>19</v>
      </c>
      <c r="B21" s="18"/>
      <c r="C21" s="18"/>
      <c r="D21" s="18"/>
      <c r="E21" s="19"/>
      <c r="F21" s="18"/>
      <c r="G21" s="20">
        <f t="shared" si="0"/>
        <v>0</v>
      </c>
    </row>
    <row r="22" spans="1:7" ht="18" customHeight="1">
      <c r="A22" s="17">
        <v>20</v>
      </c>
      <c r="B22" s="18"/>
      <c r="C22" s="18"/>
      <c r="D22" s="18"/>
      <c r="E22" s="19"/>
      <c r="F22" s="18"/>
      <c r="G22" s="20">
        <f t="shared" si="0"/>
        <v>0</v>
      </c>
    </row>
    <row r="23" spans="1:7" ht="18" customHeight="1">
      <c r="A23" s="17">
        <v>21</v>
      </c>
      <c r="B23" s="18"/>
      <c r="C23" s="18"/>
      <c r="D23" s="18"/>
      <c r="E23" s="19"/>
      <c r="F23" s="18"/>
      <c r="G23" s="20">
        <f t="shared" si="0"/>
        <v>0</v>
      </c>
    </row>
    <row r="24" spans="1:7" ht="18" customHeight="1">
      <c r="A24" s="17">
        <v>22</v>
      </c>
      <c r="B24" s="18"/>
      <c r="C24" s="18"/>
      <c r="D24" s="18"/>
      <c r="E24" s="19"/>
      <c r="F24" s="18"/>
      <c r="G24" s="20">
        <f t="shared" si="0"/>
        <v>0</v>
      </c>
    </row>
    <row r="25" spans="1:7" ht="18" customHeight="1">
      <c r="A25" s="17">
        <v>23</v>
      </c>
      <c r="B25" s="18"/>
      <c r="C25" s="18"/>
      <c r="D25" s="18"/>
      <c r="E25" s="19"/>
      <c r="F25" s="18"/>
      <c r="G25" s="20">
        <f t="shared" si="0"/>
        <v>0</v>
      </c>
    </row>
    <row r="26" spans="1:7" ht="18" customHeight="1">
      <c r="A26" s="17">
        <v>24</v>
      </c>
      <c r="B26" s="18"/>
      <c r="C26" s="18"/>
      <c r="D26" s="18"/>
      <c r="E26" s="19"/>
      <c r="F26" s="18"/>
      <c r="G26" s="20">
        <f t="shared" si="0"/>
        <v>0</v>
      </c>
    </row>
    <row r="27" spans="1:7" ht="18" customHeight="1">
      <c r="A27" s="17">
        <v>25</v>
      </c>
      <c r="B27" s="18"/>
      <c r="C27" s="18"/>
      <c r="D27" s="18"/>
      <c r="E27" s="19"/>
      <c r="F27" s="18"/>
      <c r="G27" s="20">
        <f t="shared" si="0"/>
        <v>0</v>
      </c>
    </row>
    <row r="28" spans="1:7" ht="18" customHeight="1">
      <c r="A28" s="17">
        <v>26</v>
      </c>
      <c r="B28" s="18"/>
      <c r="C28" s="18"/>
      <c r="D28" s="18"/>
      <c r="E28" s="19"/>
      <c r="F28" s="18"/>
      <c r="G28" s="20">
        <f t="shared" si="0"/>
        <v>0</v>
      </c>
    </row>
    <row r="29" spans="1:7" ht="18" customHeight="1">
      <c r="A29" s="17">
        <v>27</v>
      </c>
      <c r="B29" s="18"/>
      <c r="C29" s="18"/>
      <c r="D29" s="18"/>
      <c r="E29" s="19"/>
      <c r="F29" s="18"/>
      <c r="G29" s="20">
        <f t="shared" si="0"/>
        <v>0</v>
      </c>
    </row>
    <row r="30" spans="1:7" ht="18" customHeight="1">
      <c r="A30" s="17">
        <v>28</v>
      </c>
      <c r="B30" s="18"/>
      <c r="C30" s="18"/>
      <c r="D30" s="18"/>
      <c r="E30" s="19"/>
      <c r="F30" s="18"/>
      <c r="G30" s="20">
        <f t="shared" si="0"/>
        <v>0</v>
      </c>
    </row>
    <row r="31" spans="1:7" ht="18" customHeight="1">
      <c r="A31" s="17">
        <v>29</v>
      </c>
      <c r="B31" s="18"/>
      <c r="C31" s="18"/>
      <c r="D31" s="18"/>
      <c r="E31" s="19"/>
      <c r="F31" s="18"/>
      <c r="G31" s="20">
        <f t="shared" si="0"/>
        <v>0</v>
      </c>
    </row>
    <row r="32" spans="1:7" ht="18" customHeight="1">
      <c r="A32" s="17">
        <v>30</v>
      </c>
      <c r="B32" s="18"/>
      <c r="C32" s="18"/>
      <c r="D32" s="18"/>
      <c r="E32" s="19"/>
      <c r="F32" s="18"/>
      <c r="G32" s="20">
        <f t="shared" si="0"/>
        <v>0</v>
      </c>
    </row>
    <row r="33" spans="1:7" ht="18" customHeight="1">
      <c r="A33" s="17">
        <v>31</v>
      </c>
      <c r="B33" s="18"/>
      <c r="C33" s="18"/>
      <c r="D33" s="18"/>
      <c r="E33" s="19"/>
      <c r="F33" s="18"/>
      <c r="G33" s="20">
        <f t="shared" si="0"/>
        <v>0</v>
      </c>
    </row>
    <row r="34" spans="1:7" ht="18" customHeight="1">
      <c r="A34" s="17">
        <v>32</v>
      </c>
      <c r="B34" s="18"/>
      <c r="C34" s="18"/>
      <c r="D34" s="18"/>
      <c r="E34" s="19"/>
      <c r="F34" s="18"/>
      <c r="G34" s="20">
        <f t="shared" si="0"/>
        <v>0</v>
      </c>
    </row>
    <row r="35" spans="1:7" ht="18" customHeight="1">
      <c r="A35" s="17">
        <v>33</v>
      </c>
      <c r="B35" s="18"/>
      <c r="C35" s="18"/>
      <c r="D35" s="18"/>
      <c r="E35" s="19"/>
      <c r="F35" s="18"/>
      <c r="G35" s="20">
        <f t="shared" si="0"/>
        <v>0</v>
      </c>
    </row>
    <row r="36" spans="1:7" ht="18" customHeight="1">
      <c r="A36" s="17">
        <v>34</v>
      </c>
      <c r="B36" s="18"/>
      <c r="C36" s="18"/>
      <c r="D36" s="18"/>
      <c r="E36" s="19"/>
      <c r="F36" s="18"/>
      <c r="G36" s="20">
        <f t="shared" si="0"/>
        <v>0</v>
      </c>
    </row>
    <row r="37" spans="1:7" ht="18" customHeight="1">
      <c r="A37" s="17">
        <v>35</v>
      </c>
      <c r="B37" s="18"/>
      <c r="C37" s="18"/>
      <c r="D37" s="18"/>
      <c r="E37" s="19"/>
      <c r="F37" s="18"/>
      <c r="G37" s="20">
        <f t="shared" si="0"/>
        <v>0</v>
      </c>
    </row>
    <row r="38" spans="1:7" ht="18" customHeight="1">
      <c r="A38" s="17">
        <v>36</v>
      </c>
      <c r="B38" s="18"/>
      <c r="C38" s="18"/>
      <c r="D38" s="18"/>
      <c r="E38" s="19"/>
      <c r="F38" s="18"/>
      <c r="G38" s="20">
        <f t="shared" si="0"/>
        <v>0</v>
      </c>
    </row>
    <row r="39" spans="1:7" ht="18" customHeight="1">
      <c r="A39" s="17">
        <v>37</v>
      </c>
      <c r="B39" s="18"/>
      <c r="C39" s="18"/>
      <c r="D39" s="18"/>
      <c r="E39" s="19"/>
      <c r="F39" s="18"/>
      <c r="G39" s="20">
        <f t="shared" si="0"/>
        <v>0</v>
      </c>
    </row>
    <row r="40" spans="1:7" ht="18" customHeight="1">
      <c r="A40" s="17">
        <v>38</v>
      </c>
      <c r="B40" s="18"/>
      <c r="C40" s="18"/>
      <c r="D40" s="18"/>
      <c r="E40" s="19"/>
      <c r="F40" s="18"/>
      <c r="G40" s="20">
        <f t="shared" si="0"/>
        <v>0</v>
      </c>
    </row>
    <row r="41" spans="1:7" ht="18" customHeight="1">
      <c r="A41" s="17">
        <v>39</v>
      </c>
      <c r="B41" s="18"/>
      <c r="C41" s="18"/>
      <c r="D41" s="18"/>
      <c r="E41" s="19"/>
      <c r="F41" s="18"/>
      <c r="G41" s="20">
        <f t="shared" si="0"/>
        <v>0</v>
      </c>
    </row>
    <row r="42" spans="1:7" ht="18" customHeight="1">
      <c r="A42" s="17">
        <v>40</v>
      </c>
      <c r="B42" s="18"/>
      <c r="C42" s="18"/>
      <c r="D42" s="18"/>
      <c r="E42" s="19"/>
      <c r="F42" s="18"/>
      <c r="G42" s="20">
        <f t="shared" si="0"/>
        <v>0</v>
      </c>
    </row>
    <row r="43" spans="1:7" ht="18" customHeight="1">
      <c r="A43" s="17">
        <v>41</v>
      </c>
      <c r="B43" s="18"/>
      <c r="C43" s="18"/>
      <c r="D43" s="18"/>
      <c r="E43" s="19"/>
      <c r="F43" s="18"/>
      <c r="G43" s="20">
        <f t="shared" si="0"/>
        <v>0</v>
      </c>
    </row>
    <row r="44" spans="1:7" ht="18" customHeight="1">
      <c r="A44" s="17">
        <v>42</v>
      </c>
      <c r="B44" s="18"/>
      <c r="C44" s="18"/>
      <c r="D44" s="18"/>
      <c r="E44" s="19"/>
      <c r="F44" s="18"/>
      <c r="G44" s="20">
        <f t="shared" si="0"/>
        <v>0</v>
      </c>
    </row>
    <row r="45" spans="1:7" ht="18" customHeight="1">
      <c r="A45" s="17">
        <v>43</v>
      </c>
      <c r="B45" s="18"/>
      <c r="C45" s="18"/>
      <c r="D45" s="18"/>
      <c r="E45" s="19"/>
      <c r="F45" s="18"/>
      <c r="G45" s="20">
        <f t="shared" si="0"/>
        <v>0</v>
      </c>
    </row>
    <row r="46" spans="1:7" ht="18" customHeight="1">
      <c r="A46" s="17">
        <v>44</v>
      </c>
      <c r="B46" s="18"/>
      <c r="C46" s="18"/>
      <c r="D46" s="18"/>
      <c r="E46" s="19"/>
      <c r="F46" s="18"/>
      <c r="G46" s="20">
        <f t="shared" si="0"/>
        <v>0</v>
      </c>
    </row>
    <row r="47" spans="1:7" ht="18" customHeight="1">
      <c r="A47" s="17">
        <v>45</v>
      </c>
      <c r="B47" s="18"/>
      <c r="C47" s="18"/>
      <c r="D47" s="18"/>
      <c r="E47" s="19"/>
      <c r="F47" s="18"/>
      <c r="G47" s="20">
        <f t="shared" si="0"/>
        <v>0</v>
      </c>
    </row>
    <row r="48" spans="1:7" ht="18" customHeight="1">
      <c r="A48" s="17">
        <v>46</v>
      </c>
      <c r="B48" s="18"/>
      <c r="C48" s="18"/>
      <c r="D48" s="18"/>
      <c r="E48" s="19"/>
      <c r="F48" s="18"/>
      <c r="G48" s="20">
        <f t="shared" si="0"/>
        <v>0</v>
      </c>
    </row>
    <row r="49" spans="1:7" ht="18" customHeight="1">
      <c r="A49" s="17">
        <v>47</v>
      </c>
      <c r="B49" s="18"/>
      <c r="C49" s="18"/>
      <c r="D49" s="18"/>
      <c r="E49" s="19"/>
      <c r="F49" s="18"/>
      <c r="G49" s="20">
        <f t="shared" si="0"/>
        <v>0</v>
      </c>
    </row>
    <row r="50" spans="1:7" ht="18" customHeight="1">
      <c r="A50" s="17">
        <v>48</v>
      </c>
      <c r="B50" s="18"/>
      <c r="C50" s="18"/>
      <c r="D50" s="18"/>
      <c r="E50" s="19"/>
      <c r="F50" s="18"/>
      <c r="G50" s="20">
        <f t="shared" si="0"/>
        <v>0</v>
      </c>
    </row>
    <row r="51" spans="1:7" ht="18" customHeight="1">
      <c r="A51" s="17">
        <v>49</v>
      </c>
      <c r="B51" s="18"/>
      <c r="C51" s="18"/>
      <c r="D51" s="18"/>
      <c r="E51" s="19"/>
      <c r="F51" s="18"/>
      <c r="G51" s="20">
        <f t="shared" si="0"/>
        <v>0</v>
      </c>
    </row>
    <row r="52" spans="1:7" ht="18" customHeight="1">
      <c r="A52" s="17">
        <v>50</v>
      </c>
      <c r="B52" s="18"/>
      <c r="C52" s="18"/>
      <c r="D52" s="18"/>
      <c r="E52" s="19"/>
      <c r="F52" s="18"/>
      <c r="G52" s="20">
        <f t="shared" si="0"/>
        <v>0</v>
      </c>
    </row>
    <row r="53" spans="1:7" ht="18" customHeight="1">
      <c r="E53" s="14"/>
      <c r="G53" s="14"/>
    </row>
    <row r="54" spans="1:7" ht="18" customHeight="1">
      <c r="E54" s="14"/>
      <c r="G54" s="14"/>
    </row>
    <row r="55" spans="1:7" ht="18" customHeight="1">
      <c r="E55" s="14"/>
      <c r="G55" s="14"/>
    </row>
    <row r="56" spans="1:7" ht="18" customHeight="1">
      <c r="E56" s="14"/>
      <c r="G56" s="14"/>
    </row>
    <row r="57" spans="1:7" ht="18" customHeight="1">
      <c r="E57" s="14"/>
      <c r="G57" s="14"/>
    </row>
    <row r="58" spans="1:7" ht="18" customHeight="1">
      <c r="E58" s="14"/>
      <c r="G58" s="14"/>
    </row>
    <row r="59" spans="1:7" ht="18" customHeight="1">
      <c r="E59" s="14"/>
      <c r="G59" s="14"/>
    </row>
    <row r="60" spans="1:7" ht="18" customHeight="1">
      <c r="E60" s="14"/>
      <c r="G60" s="14"/>
    </row>
    <row r="61" spans="1:7" ht="18" customHeight="1">
      <c r="E61" s="14"/>
      <c r="G61" s="14"/>
    </row>
    <row r="62" spans="1:7" ht="18" customHeight="1">
      <c r="E62" s="14"/>
      <c r="G62" s="14"/>
    </row>
    <row r="63" spans="1:7" ht="18" customHeight="1">
      <c r="E63" s="14"/>
      <c r="G63" s="14"/>
    </row>
    <row r="64" spans="1:7" ht="18" customHeight="1">
      <c r="E64" s="14"/>
      <c r="G64" s="14"/>
    </row>
    <row r="65" spans="5:7" ht="18" customHeight="1">
      <c r="E65" s="14"/>
      <c r="G65" s="14"/>
    </row>
    <row r="66" spans="5:7" ht="18" customHeight="1">
      <c r="E66" s="14"/>
      <c r="G66" s="14"/>
    </row>
    <row r="67" spans="5:7" ht="18" customHeight="1">
      <c r="E67" s="14"/>
      <c r="G67" s="14"/>
    </row>
    <row r="68" spans="5:7" ht="18" customHeight="1">
      <c r="E68" s="14"/>
      <c r="G68" s="14"/>
    </row>
    <row r="69" spans="5:7" ht="18" customHeight="1">
      <c r="E69" s="14"/>
      <c r="G69" s="14"/>
    </row>
    <row r="70" spans="5:7" ht="18" customHeight="1">
      <c r="E70" s="14"/>
      <c r="G70" s="14"/>
    </row>
    <row r="71" spans="5:7" ht="18" customHeight="1">
      <c r="E71" s="14"/>
      <c r="G71" s="14"/>
    </row>
    <row r="72" spans="5:7" ht="18" customHeight="1">
      <c r="E72" s="14"/>
      <c r="G72" s="14"/>
    </row>
    <row r="73" spans="5:7" ht="18" customHeight="1">
      <c r="E73" s="14"/>
      <c r="G73" s="14"/>
    </row>
    <row r="74" spans="5:7" ht="18" customHeight="1">
      <c r="E74" s="14"/>
      <c r="G74" s="14"/>
    </row>
    <row r="75" spans="5:7" ht="18" customHeight="1">
      <c r="E75" s="14"/>
      <c r="G75" s="14"/>
    </row>
    <row r="76" spans="5:7" ht="18" customHeight="1">
      <c r="E76" s="14"/>
      <c r="G76" s="14"/>
    </row>
    <row r="77" spans="5:7" ht="18" customHeight="1">
      <c r="E77" s="14"/>
      <c r="G77" s="14"/>
    </row>
    <row r="78" spans="5:7" ht="18" customHeight="1">
      <c r="E78" s="14"/>
      <c r="G78" s="14"/>
    </row>
    <row r="79" spans="5:7" ht="18" customHeight="1">
      <c r="E79" s="14"/>
      <c r="G79" s="14"/>
    </row>
    <row r="80" spans="5:7" ht="18" customHeight="1">
      <c r="E80" s="14"/>
      <c r="G80" s="14"/>
    </row>
    <row r="81" spans="5:7" ht="18" customHeight="1">
      <c r="E81" s="14"/>
      <c r="G81" s="14"/>
    </row>
    <row r="82" spans="5:7" ht="18" customHeight="1">
      <c r="E82" s="14"/>
      <c r="G82" s="14"/>
    </row>
    <row r="83" spans="5:7" ht="18" customHeight="1">
      <c r="E83" s="14"/>
      <c r="G83" s="14"/>
    </row>
    <row r="84" spans="5:7" ht="18" customHeight="1">
      <c r="E84" s="14"/>
      <c r="G84" s="14"/>
    </row>
    <row r="85" spans="5:7" ht="18" customHeight="1">
      <c r="E85" s="14"/>
      <c r="G85" s="14"/>
    </row>
    <row r="86" spans="5:7" ht="18" customHeight="1">
      <c r="E86" s="14"/>
      <c r="G86" s="14"/>
    </row>
    <row r="87" spans="5:7" ht="18" customHeight="1">
      <c r="E87" s="14"/>
      <c r="G87" s="14"/>
    </row>
    <row r="88" spans="5:7" ht="18" customHeight="1">
      <c r="E88" s="14"/>
      <c r="G88" s="14"/>
    </row>
    <row r="89" spans="5:7" ht="18" customHeight="1">
      <c r="E89" s="14"/>
      <c r="G89" s="14"/>
    </row>
    <row r="90" spans="5:7" ht="18" customHeight="1">
      <c r="E90" s="14"/>
      <c r="G90" s="14"/>
    </row>
    <row r="91" spans="5:7" ht="18" customHeight="1">
      <c r="E91" s="14"/>
      <c r="G91" s="14"/>
    </row>
    <row r="92" spans="5:7" ht="18" customHeight="1">
      <c r="E92" s="14"/>
      <c r="G92" s="14"/>
    </row>
    <row r="93" spans="5:7" ht="18" customHeight="1">
      <c r="E93" s="14"/>
      <c r="G93" s="14"/>
    </row>
    <row r="94" spans="5:7" ht="18" customHeight="1">
      <c r="E94" s="14"/>
      <c r="G94" s="14"/>
    </row>
    <row r="95" spans="5:7" ht="18" customHeight="1">
      <c r="E95" s="14"/>
      <c r="G95" s="14"/>
    </row>
    <row r="96" spans="5:7" ht="18" customHeight="1">
      <c r="E96" s="14"/>
      <c r="G96" s="14"/>
    </row>
    <row r="97" spans="5:7" ht="18" customHeight="1">
      <c r="E97" s="14"/>
      <c r="G97" s="14"/>
    </row>
    <row r="98" spans="5:7" ht="18" customHeight="1">
      <c r="E98" s="14"/>
      <c r="G98" s="14"/>
    </row>
    <row r="99" spans="5:7" ht="18" customHeight="1">
      <c r="E99" s="14"/>
      <c r="G99" s="14"/>
    </row>
    <row r="100" spans="5:7" ht="18" customHeight="1">
      <c r="E100" s="14"/>
      <c r="G100" s="14"/>
    </row>
    <row r="101" spans="5:7" ht="18" customHeight="1">
      <c r="E101" s="14"/>
      <c r="G101" s="14"/>
    </row>
    <row r="102" spans="5:7" ht="18" customHeight="1">
      <c r="E102" s="14"/>
      <c r="G102" s="14"/>
    </row>
    <row r="103" spans="5:7" ht="18" customHeight="1">
      <c r="E103" s="14"/>
      <c r="G103" s="14"/>
    </row>
    <row r="104" spans="5:7" ht="18" customHeight="1">
      <c r="E104" s="14"/>
      <c r="G104" s="14"/>
    </row>
    <row r="105" spans="5:7" ht="18" customHeight="1">
      <c r="E105" s="14"/>
      <c r="G105" s="14"/>
    </row>
    <row r="106" spans="5:7" ht="18" customHeight="1">
      <c r="E106" s="14"/>
      <c r="G106" s="14"/>
    </row>
    <row r="107" spans="5:7" ht="18" customHeight="1">
      <c r="E107" s="14"/>
      <c r="G107" s="14"/>
    </row>
    <row r="108" spans="5:7" ht="18" customHeight="1">
      <c r="E108" s="14"/>
      <c r="G108" s="14"/>
    </row>
    <row r="109" spans="5:7" ht="18" customHeight="1">
      <c r="E109" s="14"/>
      <c r="G109" s="14"/>
    </row>
    <row r="110" spans="5:7" ht="18" customHeight="1">
      <c r="E110" s="14"/>
      <c r="G110" s="14"/>
    </row>
    <row r="111" spans="5:7" ht="18" customHeight="1">
      <c r="E111" s="14"/>
      <c r="G111" s="14"/>
    </row>
    <row r="112" spans="5:7" ht="18" customHeight="1">
      <c r="E112" s="14"/>
      <c r="G112" s="14"/>
    </row>
    <row r="113" spans="5:7" ht="18" customHeight="1">
      <c r="E113" s="14"/>
      <c r="G113" s="14"/>
    </row>
    <row r="114" spans="5:7" ht="18" customHeight="1">
      <c r="E114" s="14"/>
      <c r="G114" s="14"/>
    </row>
    <row r="115" spans="5:7" ht="18" customHeight="1">
      <c r="E115" s="14"/>
      <c r="G115" s="14"/>
    </row>
    <row r="116" spans="5:7" ht="18" customHeight="1">
      <c r="E116" s="14"/>
      <c r="G116" s="14"/>
    </row>
    <row r="117" spans="5:7" ht="18" customHeight="1">
      <c r="E117" s="14"/>
      <c r="G117" s="14"/>
    </row>
    <row r="118" spans="5:7" ht="18" customHeight="1">
      <c r="E118" s="14"/>
      <c r="G118" s="14"/>
    </row>
    <row r="119" spans="5:7" ht="18" customHeight="1">
      <c r="E119" s="14"/>
      <c r="G119" s="14"/>
    </row>
    <row r="120" spans="5:7" ht="18" customHeight="1">
      <c r="E120" s="14"/>
      <c r="G120" s="14"/>
    </row>
    <row r="121" spans="5:7" ht="18" customHeight="1">
      <c r="E121" s="14"/>
      <c r="G121" s="14"/>
    </row>
    <row r="122" spans="5:7" ht="18" customHeight="1">
      <c r="E122" s="14"/>
      <c r="G122" s="14"/>
    </row>
    <row r="123" spans="5:7" ht="18" customHeight="1">
      <c r="E123" s="14"/>
      <c r="G123" s="14"/>
    </row>
    <row r="124" spans="5:7" ht="18" customHeight="1">
      <c r="E124" s="14"/>
      <c r="G124" s="14"/>
    </row>
    <row r="125" spans="5:7" ht="18" customHeight="1">
      <c r="E125" s="14"/>
      <c r="G125" s="14"/>
    </row>
    <row r="126" spans="5:7" ht="18" customHeight="1">
      <c r="E126" s="14"/>
      <c r="G126" s="14"/>
    </row>
    <row r="127" spans="5:7" ht="18" customHeight="1">
      <c r="E127" s="14"/>
      <c r="G127" s="14"/>
    </row>
    <row r="128" spans="5:7" ht="18" customHeight="1">
      <c r="E128" s="14"/>
      <c r="G128" s="14"/>
    </row>
    <row r="129" spans="5:7" ht="18" customHeight="1">
      <c r="E129" s="14"/>
      <c r="G129" s="14"/>
    </row>
    <row r="130" spans="5:7" ht="18" customHeight="1">
      <c r="E130" s="14"/>
      <c r="G130" s="14"/>
    </row>
    <row r="131" spans="5:7" ht="18" customHeight="1">
      <c r="E131" s="14"/>
      <c r="G131" s="14"/>
    </row>
    <row r="132" spans="5:7" ht="18" customHeight="1">
      <c r="E132" s="14"/>
      <c r="G132" s="14"/>
    </row>
    <row r="133" spans="5:7" ht="18" customHeight="1">
      <c r="E133" s="14"/>
      <c r="G133" s="14"/>
    </row>
    <row r="134" spans="5:7" ht="18" customHeight="1">
      <c r="E134" s="14"/>
      <c r="G134" s="14"/>
    </row>
    <row r="135" spans="5:7" ht="18" customHeight="1">
      <c r="E135" s="14"/>
      <c r="G135" s="14"/>
    </row>
    <row r="136" spans="5:7" ht="18" customHeight="1">
      <c r="E136" s="14"/>
      <c r="G136" s="14"/>
    </row>
    <row r="137" spans="5:7" ht="18" customHeight="1">
      <c r="E137" s="14"/>
      <c r="G137" s="14"/>
    </row>
    <row r="138" spans="5:7" ht="18" customHeight="1">
      <c r="E138" s="14"/>
      <c r="G138" s="14"/>
    </row>
    <row r="139" spans="5:7" ht="18" customHeight="1">
      <c r="E139" s="14"/>
      <c r="G139" s="14"/>
    </row>
    <row r="140" spans="5:7" ht="18" customHeight="1">
      <c r="E140" s="14"/>
      <c r="G140" s="14"/>
    </row>
    <row r="141" spans="5:7" ht="18" customHeight="1">
      <c r="E141" s="14"/>
      <c r="G141" s="14"/>
    </row>
    <row r="142" spans="5:7" ht="18" customHeight="1">
      <c r="E142" s="14"/>
      <c r="G142" s="14"/>
    </row>
    <row r="143" spans="5:7" ht="18" customHeight="1">
      <c r="E143" s="14"/>
      <c r="G143" s="14"/>
    </row>
    <row r="144" spans="5:7" ht="18" customHeight="1">
      <c r="E144" s="14"/>
      <c r="G144" s="14"/>
    </row>
    <row r="145" spans="5:7" ht="18" customHeight="1">
      <c r="E145" s="14"/>
      <c r="G145" s="14"/>
    </row>
    <row r="146" spans="5:7" ht="18" customHeight="1">
      <c r="E146" s="14"/>
      <c r="G146" s="14"/>
    </row>
    <row r="147" spans="5:7" ht="18" customHeight="1">
      <c r="E147" s="14"/>
      <c r="G147" s="14"/>
    </row>
    <row r="148" spans="5:7" ht="18" customHeight="1">
      <c r="E148" s="14"/>
      <c r="G148" s="14"/>
    </row>
    <row r="149" spans="5:7" ht="18" customHeight="1">
      <c r="E149" s="14"/>
      <c r="G149" s="14"/>
    </row>
    <row r="150" spans="5:7" ht="18" customHeight="1">
      <c r="E150" s="14"/>
      <c r="G150" s="14"/>
    </row>
    <row r="151" spans="5:7" ht="18" customHeight="1">
      <c r="E151" s="14"/>
      <c r="G151" s="14"/>
    </row>
    <row r="152" spans="5:7" ht="18" customHeight="1">
      <c r="E152" s="14"/>
      <c r="G152" s="14"/>
    </row>
    <row r="153" spans="5:7" ht="18" customHeight="1">
      <c r="E153" s="14"/>
      <c r="G153" s="14"/>
    </row>
    <row r="154" spans="5:7" ht="18" customHeight="1">
      <c r="E154" s="14"/>
      <c r="G154" s="14"/>
    </row>
    <row r="155" spans="5:7" ht="18" customHeight="1">
      <c r="E155" s="14"/>
      <c r="G155" s="14"/>
    </row>
    <row r="156" spans="5:7" ht="18" customHeight="1">
      <c r="E156" s="14"/>
      <c r="G156" s="14"/>
    </row>
    <row r="157" spans="5:7" ht="18" customHeight="1">
      <c r="E157" s="14"/>
      <c r="G157" s="14"/>
    </row>
    <row r="158" spans="5:7" ht="18" customHeight="1">
      <c r="E158" s="14"/>
      <c r="G158" s="14"/>
    </row>
    <row r="159" spans="5:7" ht="18" customHeight="1">
      <c r="E159" s="14"/>
      <c r="G159" s="14"/>
    </row>
    <row r="160" spans="5:7" ht="18" customHeight="1">
      <c r="E160" s="14"/>
      <c r="G160" s="14"/>
    </row>
    <row r="161" spans="5:7" ht="18" customHeight="1">
      <c r="E161" s="14"/>
      <c r="G161" s="14"/>
    </row>
    <row r="162" spans="5:7" ht="18" customHeight="1">
      <c r="E162" s="14"/>
      <c r="G162" s="14"/>
    </row>
    <row r="163" spans="5:7" ht="18" customHeight="1">
      <c r="E163" s="14"/>
      <c r="G163" s="14"/>
    </row>
    <row r="164" spans="5:7" ht="18" customHeight="1">
      <c r="E164" s="14"/>
      <c r="G164" s="14"/>
    </row>
    <row r="165" spans="5:7" ht="18" customHeight="1">
      <c r="E165" s="14"/>
      <c r="G165" s="14"/>
    </row>
    <row r="166" spans="5:7" ht="18" customHeight="1">
      <c r="E166" s="14"/>
      <c r="G166" s="14"/>
    </row>
    <row r="167" spans="5:7" ht="18" customHeight="1">
      <c r="E167" s="14"/>
      <c r="G167" s="14"/>
    </row>
    <row r="168" spans="5:7" ht="18" customHeight="1">
      <c r="E168" s="14"/>
      <c r="G168" s="14"/>
    </row>
    <row r="169" spans="5:7" ht="18" customHeight="1">
      <c r="E169" s="14"/>
      <c r="G169" s="14"/>
    </row>
    <row r="170" spans="5:7" ht="18" customHeight="1">
      <c r="E170" s="14"/>
      <c r="G170" s="14"/>
    </row>
    <row r="171" spans="5:7" ht="18" customHeight="1">
      <c r="E171" s="14"/>
      <c r="G171" s="14"/>
    </row>
    <row r="172" spans="5:7" ht="18" customHeight="1">
      <c r="E172" s="14"/>
      <c r="G172" s="14"/>
    </row>
    <row r="173" spans="5:7" ht="18" customHeight="1">
      <c r="E173" s="14"/>
      <c r="G173" s="14"/>
    </row>
    <row r="174" spans="5:7" ht="18" customHeight="1">
      <c r="E174" s="14"/>
      <c r="G174" s="14"/>
    </row>
    <row r="175" spans="5:7" ht="18" customHeight="1">
      <c r="E175" s="14"/>
      <c r="G175" s="14"/>
    </row>
    <row r="176" spans="5:7" ht="18" customHeight="1">
      <c r="E176" s="14"/>
      <c r="G176" s="14"/>
    </row>
    <row r="177" spans="5:7" ht="18" customHeight="1">
      <c r="E177" s="14"/>
      <c r="G177" s="14"/>
    </row>
    <row r="178" spans="5:7" ht="18" customHeight="1">
      <c r="E178" s="14"/>
      <c r="G178" s="14"/>
    </row>
    <row r="179" spans="5:7" ht="18" customHeight="1">
      <c r="E179" s="14"/>
      <c r="G179" s="14"/>
    </row>
    <row r="180" spans="5:7" ht="18" customHeight="1">
      <c r="E180" s="14"/>
      <c r="G180" s="14"/>
    </row>
    <row r="181" spans="5:7" ht="18" customHeight="1">
      <c r="E181" s="14"/>
      <c r="G181" s="14"/>
    </row>
    <row r="182" spans="5:7" ht="18" customHeight="1">
      <c r="E182" s="14"/>
      <c r="G182" s="14"/>
    </row>
    <row r="183" spans="5:7" ht="18" customHeight="1">
      <c r="E183" s="14"/>
      <c r="G183" s="14"/>
    </row>
    <row r="184" spans="5:7" ht="18" customHeight="1">
      <c r="E184" s="14"/>
      <c r="G184" s="14"/>
    </row>
    <row r="185" spans="5:7" ht="18" customHeight="1">
      <c r="E185" s="14"/>
      <c r="G185" s="14"/>
    </row>
    <row r="186" spans="5:7" ht="18" customHeight="1">
      <c r="E186" s="14"/>
      <c r="G186" s="14"/>
    </row>
    <row r="187" spans="5:7" ht="18" customHeight="1">
      <c r="E187" s="14"/>
      <c r="G187" s="14"/>
    </row>
    <row r="188" spans="5:7" ht="18" customHeight="1">
      <c r="E188" s="14"/>
      <c r="G188" s="14"/>
    </row>
    <row r="189" spans="5:7" ht="18" customHeight="1">
      <c r="E189" s="14"/>
      <c r="G189" s="14"/>
    </row>
    <row r="190" spans="5:7" ht="18" customHeight="1">
      <c r="E190" s="14"/>
      <c r="G190" s="14"/>
    </row>
    <row r="191" spans="5:7" ht="18" customHeight="1">
      <c r="E191" s="14"/>
      <c r="G191" s="14"/>
    </row>
    <row r="192" spans="5:7" ht="18" customHeight="1">
      <c r="E192" s="14"/>
      <c r="G192" s="14"/>
    </row>
    <row r="193" spans="5:7" ht="18" customHeight="1">
      <c r="E193" s="14"/>
      <c r="G193" s="14"/>
    </row>
    <row r="194" spans="5:7" ht="18" customHeight="1">
      <c r="E194" s="14"/>
      <c r="G194" s="14"/>
    </row>
    <row r="195" spans="5:7" ht="18" customHeight="1">
      <c r="E195" s="14"/>
      <c r="G195" s="14"/>
    </row>
    <row r="196" spans="5:7" ht="18" customHeight="1">
      <c r="E196" s="14"/>
      <c r="G196" s="14"/>
    </row>
    <row r="197" spans="5:7" ht="18" customHeight="1">
      <c r="E197" s="14"/>
      <c r="G197" s="14"/>
    </row>
    <row r="198" spans="5:7" ht="18" customHeight="1">
      <c r="E198" s="14"/>
      <c r="G198" s="14"/>
    </row>
    <row r="199" spans="5:7" ht="18" customHeight="1">
      <c r="E199" s="14"/>
      <c r="G199" s="14"/>
    </row>
    <row r="200" spans="5:7" ht="18" customHeight="1">
      <c r="E200" s="14"/>
      <c r="G200" s="14"/>
    </row>
    <row r="201" spans="5:7" ht="18" customHeight="1">
      <c r="E201" s="14"/>
      <c r="G201" s="14"/>
    </row>
    <row r="202" spans="5:7" ht="18" customHeight="1">
      <c r="E202" s="14"/>
      <c r="G202" s="14"/>
    </row>
    <row r="203" spans="5:7" ht="18" customHeight="1">
      <c r="E203" s="14"/>
      <c r="G203" s="14"/>
    </row>
    <row r="204" spans="5:7" ht="18" customHeight="1">
      <c r="E204" s="14"/>
      <c r="G204" s="14"/>
    </row>
    <row r="205" spans="5:7" ht="18" customHeight="1">
      <c r="E205" s="14"/>
      <c r="G205" s="14"/>
    </row>
    <row r="206" spans="5:7" ht="18" customHeight="1">
      <c r="E206" s="14"/>
      <c r="G206" s="14"/>
    </row>
    <row r="207" spans="5:7" ht="18" customHeight="1">
      <c r="E207" s="14"/>
      <c r="G207" s="14"/>
    </row>
    <row r="208" spans="5:7" ht="18" customHeight="1">
      <c r="E208" s="14"/>
      <c r="G208" s="14"/>
    </row>
    <row r="209" spans="5:7" ht="18" customHeight="1">
      <c r="E209" s="14"/>
      <c r="G209" s="14"/>
    </row>
    <row r="210" spans="5:7" ht="18" customHeight="1">
      <c r="E210" s="14"/>
      <c r="G210" s="14"/>
    </row>
    <row r="211" spans="5:7" ht="18" customHeight="1">
      <c r="E211" s="14"/>
      <c r="G211" s="14"/>
    </row>
    <row r="212" spans="5:7" ht="18" customHeight="1">
      <c r="E212" s="14"/>
      <c r="G212" s="14"/>
    </row>
    <row r="213" spans="5:7" ht="18" customHeight="1">
      <c r="E213" s="14"/>
      <c r="G213" s="14"/>
    </row>
    <row r="214" spans="5:7" ht="18" customHeight="1">
      <c r="E214" s="14"/>
      <c r="G214" s="14"/>
    </row>
    <row r="215" spans="5:7" ht="18" customHeight="1">
      <c r="E215" s="14"/>
      <c r="G215" s="14"/>
    </row>
    <row r="216" spans="5:7" ht="18" customHeight="1">
      <c r="E216" s="14"/>
      <c r="G216" s="14"/>
    </row>
    <row r="217" spans="5:7" ht="18" customHeight="1">
      <c r="E217" s="14"/>
      <c r="G217" s="14"/>
    </row>
    <row r="218" spans="5:7" ht="18" customHeight="1">
      <c r="E218" s="14"/>
      <c r="G218" s="14"/>
    </row>
    <row r="219" spans="5:7" ht="18" customHeight="1">
      <c r="E219" s="14"/>
      <c r="G219" s="14"/>
    </row>
    <row r="220" spans="5:7" ht="18" customHeight="1">
      <c r="E220" s="14"/>
      <c r="G220" s="14"/>
    </row>
    <row r="221" spans="5:7" ht="18" customHeight="1">
      <c r="E221" s="14"/>
      <c r="G221" s="14"/>
    </row>
    <row r="222" spans="5:7" ht="18" customHeight="1">
      <c r="E222" s="14"/>
      <c r="G222" s="14"/>
    </row>
    <row r="223" spans="5:7" ht="18" customHeight="1">
      <c r="E223" s="14"/>
      <c r="G223" s="14"/>
    </row>
    <row r="224" spans="5:7" ht="18" customHeight="1">
      <c r="E224" s="14"/>
      <c r="G224" s="14"/>
    </row>
    <row r="225" spans="5:7" ht="18" customHeight="1">
      <c r="E225" s="14"/>
      <c r="G225" s="14"/>
    </row>
    <row r="226" spans="5:7" ht="18" customHeight="1">
      <c r="E226" s="14"/>
      <c r="G226" s="14"/>
    </row>
    <row r="227" spans="5:7" ht="18" customHeight="1">
      <c r="E227" s="14"/>
      <c r="G227" s="14"/>
    </row>
    <row r="228" spans="5:7" ht="18" customHeight="1">
      <c r="E228" s="14"/>
      <c r="G228" s="14"/>
    </row>
    <row r="229" spans="5:7" ht="18" customHeight="1">
      <c r="E229" s="14"/>
      <c r="G229" s="14"/>
    </row>
    <row r="230" spans="5:7" ht="18" customHeight="1">
      <c r="E230" s="14"/>
      <c r="G230" s="14"/>
    </row>
    <row r="231" spans="5:7" ht="18" customHeight="1">
      <c r="E231" s="14"/>
      <c r="G231" s="14"/>
    </row>
    <row r="232" spans="5:7" ht="18" customHeight="1">
      <c r="E232" s="14"/>
      <c r="G232" s="14"/>
    </row>
    <row r="233" spans="5:7" ht="18" customHeight="1">
      <c r="E233" s="14"/>
      <c r="G233" s="14"/>
    </row>
    <row r="234" spans="5:7" ht="18" customHeight="1">
      <c r="E234" s="14"/>
      <c r="G234" s="14"/>
    </row>
    <row r="235" spans="5:7" ht="18" customHeight="1">
      <c r="E235" s="14"/>
      <c r="G235" s="14"/>
    </row>
    <row r="236" spans="5:7" ht="18" customHeight="1">
      <c r="E236" s="14"/>
      <c r="G236" s="14"/>
    </row>
    <row r="237" spans="5:7" ht="18" customHeight="1">
      <c r="E237" s="14"/>
      <c r="G237" s="14"/>
    </row>
    <row r="238" spans="5:7" ht="18" customHeight="1">
      <c r="E238" s="14"/>
      <c r="G238" s="14"/>
    </row>
    <row r="239" spans="5:7" ht="18" customHeight="1">
      <c r="E239" s="14"/>
      <c r="G239" s="14"/>
    </row>
    <row r="240" spans="5:7" ht="18" customHeight="1">
      <c r="E240" s="14"/>
      <c r="G240" s="14"/>
    </row>
    <row r="241" spans="5:7" ht="18" customHeight="1">
      <c r="E241" s="14"/>
      <c r="G241" s="14"/>
    </row>
    <row r="242" spans="5:7" ht="18" customHeight="1">
      <c r="E242" s="14"/>
      <c r="G242" s="14"/>
    </row>
    <row r="243" spans="5:7" ht="18" customHeight="1">
      <c r="E243" s="14"/>
      <c r="G243" s="14"/>
    </row>
    <row r="244" spans="5:7" ht="18" customHeight="1">
      <c r="E244" s="14"/>
      <c r="G244" s="14"/>
    </row>
    <row r="245" spans="5:7" ht="18" customHeight="1">
      <c r="E245" s="14"/>
      <c r="G245" s="14"/>
    </row>
    <row r="246" spans="5:7" ht="18" customHeight="1">
      <c r="E246" s="14"/>
      <c r="G246" s="14"/>
    </row>
    <row r="247" spans="5:7" ht="18" customHeight="1">
      <c r="E247" s="14"/>
      <c r="G247" s="14"/>
    </row>
    <row r="248" spans="5:7" ht="18" customHeight="1">
      <c r="E248" s="14"/>
      <c r="G248" s="14"/>
    </row>
    <row r="249" spans="5:7" ht="18" customHeight="1">
      <c r="E249" s="14"/>
      <c r="G249" s="14"/>
    </row>
    <row r="250" spans="5:7" ht="18" customHeight="1">
      <c r="E250" s="14"/>
      <c r="G250" s="14"/>
    </row>
    <row r="251" spans="5:7" ht="18" customHeight="1">
      <c r="E251" s="14"/>
      <c r="G251" s="14"/>
    </row>
    <row r="252" spans="5:7" ht="18" customHeight="1">
      <c r="E252" s="14"/>
      <c r="G252" s="14"/>
    </row>
    <row r="253" spans="5:7" ht="18" customHeight="1">
      <c r="E253" s="14"/>
      <c r="G253" s="14"/>
    </row>
    <row r="254" spans="5:7" ht="18" customHeight="1">
      <c r="E254" s="14"/>
      <c r="G254" s="14"/>
    </row>
    <row r="255" spans="5:7" ht="18" customHeight="1">
      <c r="E255" s="14"/>
      <c r="G255" s="14"/>
    </row>
    <row r="256" spans="5:7" ht="18" customHeight="1">
      <c r="E256" s="14"/>
      <c r="G256" s="14"/>
    </row>
    <row r="257" spans="5:7" ht="18" customHeight="1">
      <c r="E257" s="14"/>
      <c r="G257" s="14"/>
    </row>
    <row r="258" spans="5:7" ht="18" customHeight="1">
      <c r="E258" s="14"/>
      <c r="G258" s="14"/>
    </row>
    <row r="259" spans="5:7" ht="18" customHeight="1">
      <c r="E259" s="14"/>
      <c r="G259" s="14"/>
    </row>
    <row r="260" spans="5:7" ht="18" customHeight="1">
      <c r="E260" s="14"/>
      <c r="G260" s="14"/>
    </row>
    <row r="261" spans="5:7" ht="18" customHeight="1">
      <c r="E261" s="14"/>
      <c r="G261" s="14"/>
    </row>
    <row r="262" spans="5:7" ht="18" customHeight="1">
      <c r="E262" s="14"/>
      <c r="G262" s="14"/>
    </row>
    <row r="263" spans="5:7" ht="18" customHeight="1">
      <c r="E263" s="14"/>
      <c r="G263" s="14"/>
    </row>
    <row r="264" spans="5:7" ht="18" customHeight="1">
      <c r="E264" s="14"/>
      <c r="G264" s="14"/>
    </row>
    <row r="265" spans="5:7" ht="18" customHeight="1">
      <c r="E265" s="14"/>
      <c r="G265" s="14"/>
    </row>
    <row r="266" spans="5:7" ht="18" customHeight="1">
      <c r="E266" s="14"/>
      <c r="G266" s="14"/>
    </row>
    <row r="267" spans="5:7" ht="18" customHeight="1">
      <c r="E267" s="14"/>
      <c r="G267" s="14"/>
    </row>
    <row r="268" spans="5:7" ht="18" customHeight="1">
      <c r="E268" s="14"/>
      <c r="G268" s="14"/>
    </row>
    <row r="269" spans="5:7" ht="18" customHeight="1">
      <c r="E269" s="14"/>
      <c r="G269" s="14"/>
    </row>
    <row r="270" spans="5:7" ht="18" customHeight="1">
      <c r="E270" s="14"/>
      <c r="G270" s="14"/>
    </row>
    <row r="271" spans="5:7" ht="18" customHeight="1">
      <c r="E271" s="14"/>
      <c r="G271" s="14"/>
    </row>
    <row r="272" spans="5:7" ht="18" customHeight="1">
      <c r="E272" s="14"/>
      <c r="G272" s="14"/>
    </row>
    <row r="273" spans="5:7" ht="18" customHeight="1">
      <c r="E273" s="14"/>
      <c r="G273" s="14"/>
    </row>
    <row r="274" spans="5:7" ht="18" customHeight="1">
      <c r="E274" s="14"/>
      <c r="G274" s="14"/>
    </row>
    <row r="275" spans="5:7" ht="18" customHeight="1">
      <c r="E275" s="14"/>
      <c r="G275" s="14"/>
    </row>
    <row r="276" spans="5:7" ht="18" customHeight="1">
      <c r="E276" s="14"/>
      <c r="G276" s="14"/>
    </row>
    <row r="277" spans="5:7" ht="18" customHeight="1">
      <c r="E277" s="14"/>
      <c r="G277" s="14"/>
    </row>
    <row r="278" spans="5:7" ht="18" customHeight="1">
      <c r="E278" s="14"/>
      <c r="G278" s="14"/>
    </row>
    <row r="279" spans="5:7" ht="18" customHeight="1">
      <c r="E279" s="14"/>
      <c r="G279" s="14"/>
    </row>
    <row r="280" spans="5:7" ht="18" customHeight="1">
      <c r="E280" s="14"/>
      <c r="G280" s="14"/>
    </row>
    <row r="281" spans="5:7" ht="18" customHeight="1">
      <c r="E281" s="14"/>
      <c r="G281" s="14"/>
    </row>
    <row r="282" spans="5:7" ht="18" customHeight="1">
      <c r="E282" s="14"/>
      <c r="G282" s="14"/>
    </row>
    <row r="283" spans="5:7" ht="18" customHeight="1">
      <c r="E283" s="14"/>
      <c r="G283" s="14"/>
    </row>
    <row r="284" spans="5:7" ht="18" customHeight="1">
      <c r="E284" s="14"/>
      <c r="G284" s="14"/>
    </row>
    <row r="285" spans="5:7" ht="18" customHeight="1">
      <c r="E285" s="14"/>
      <c r="G285" s="14"/>
    </row>
    <row r="286" spans="5:7" ht="18" customHeight="1">
      <c r="E286" s="14"/>
      <c r="G286" s="14"/>
    </row>
    <row r="287" spans="5:7" ht="18" customHeight="1">
      <c r="E287" s="14"/>
      <c r="G287" s="14"/>
    </row>
    <row r="288" spans="5:7" ht="18" customHeight="1">
      <c r="E288" s="14"/>
      <c r="G288" s="14"/>
    </row>
    <row r="289" spans="5:7" ht="18" customHeight="1">
      <c r="E289" s="14"/>
      <c r="G289" s="14"/>
    </row>
    <row r="290" spans="5:7" ht="18" customHeight="1">
      <c r="E290" s="14"/>
      <c r="G290" s="14"/>
    </row>
    <row r="291" spans="5:7" ht="18" customHeight="1">
      <c r="E291" s="14"/>
      <c r="G291" s="14"/>
    </row>
    <row r="292" spans="5:7" ht="18" customHeight="1">
      <c r="E292" s="14"/>
      <c r="G292" s="14"/>
    </row>
    <row r="293" spans="5:7" ht="18" customHeight="1">
      <c r="E293" s="14"/>
      <c r="G293" s="14"/>
    </row>
    <row r="294" spans="5:7" ht="18" customHeight="1">
      <c r="E294" s="14"/>
      <c r="G294" s="14"/>
    </row>
    <row r="295" spans="5:7" ht="18" customHeight="1">
      <c r="E295" s="14"/>
      <c r="G295" s="14"/>
    </row>
    <row r="296" spans="5:7" ht="18" customHeight="1">
      <c r="E296" s="14"/>
      <c r="G296" s="14"/>
    </row>
    <row r="297" spans="5:7" ht="18" customHeight="1">
      <c r="E297" s="14"/>
      <c r="G297" s="14"/>
    </row>
    <row r="298" spans="5:7" ht="18" customHeight="1">
      <c r="E298" s="14"/>
      <c r="G298" s="14"/>
    </row>
    <row r="299" spans="5:7" ht="18" customHeight="1">
      <c r="E299" s="14"/>
      <c r="G299" s="14"/>
    </row>
    <row r="300" spans="5:7" ht="18" customHeight="1">
      <c r="E300" s="14"/>
      <c r="G300" s="14"/>
    </row>
    <row r="301" spans="5:7" ht="18" customHeight="1">
      <c r="E301" s="14"/>
      <c r="G301" s="14"/>
    </row>
    <row r="302" spans="5:7" ht="18" customHeight="1">
      <c r="E302" s="14"/>
      <c r="G302" s="14"/>
    </row>
    <row r="303" spans="5:7" ht="18" customHeight="1">
      <c r="E303" s="14"/>
      <c r="G303" s="14"/>
    </row>
    <row r="304" spans="5:7" ht="18" customHeight="1">
      <c r="E304" s="14"/>
      <c r="G304" s="14"/>
    </row>
    <row r="305" spans="5:7" ht="18" customHeight="1">
      <c r="E305" s="14"/>
      <c r="G305" s="14"/>
    </row>
    <row r="306" spans="5:7" ht="18" customHeight="1">
      <c r="E306" s="14"/>
      <c r="G306" s="14"/>
    </row>
    <row r="307" spans="5:7" ht="18" customHeight="1">
      <c r="E307" s="14"/>
      <c r="G307" s="14"/>
    </row>
    <row r="308" spans="5:7" ht="18" customHeight="1">
      <c r="E308" s="14"/>
      <c r="G308" s="14"/>
    </row>
    <row r="309" spans="5:7" ht="18" customHeight="1">
      <c r="E309" s="14"/>
      <c r="G309" s="14"/>
    </row>
    <row r="310" spans="5:7" ht="18" customHeight="1">
      <c r="E310" s="14"/>
      <c r="G310" s="14"/>
    </row>
    <row r="311" spans="5:7" ht="18" customHeight="1">
      <c r="E311" s="14"/>
      <c r="G311" s="14"/>
    </row>
    <row r="312" spans="5:7" ht="18" customHeight="1">
      <c r="E312" s="14"/>
      <c r="G312" s="14"/>
    </row>
    <row r="313" spans="5:7" ht="18" customHeight="1">
      <c r="E313" s="14"/>
      <c r="G313" s="14"/>
    </row>
    <row r="314" spans="5:7" ht="18" customHeight="1">
      <c r="E314" s="14"/>
      <c r="G314" s="14"/>
    </row>
    <row r="315" spans="5:7" ht="18" customHeight="1">
      <c r="E315" s="14"/>
      <c r="G315" s="14"/>
    </row>
    <row r="316" spans="5:7" ht="18" customHeight="1">
      <c r="E316" s="14"/>
      <c r="G316" s="14"/>
    </row>
    <row r="317" spans="5:7" ht="18" customHeight="1">
      <c r="E317" s="14"/>
      <c r="G317" s="14"/>
    </row>
    <row r="318" spans="5:7" ht="18" customHeight="1">
      <c r="E318" s="14"/>
      <c r="G318" s="14"/>
    </row>
    <row r="319" spans="5:7" ht="18" customHeight="1">
      <c r="E319" s="14"/>
      <c r="G319" s="14"/>
    </row>
    <row r="320" spans="5:7" ht="18" customHeight="1">
      <c r="E320" s="14"/>
      <c r="G320" s="14"/>
    </row>
    <row r="321" spans="5:7" ht="18" customHeight="1">
      <c r="E321" s="14"/>
      <c r="G321" s="14"/>
    </row>
    <row r="322" spans="5:7" ht="18" customHeight="1">
      <c r="E322" s="14"/>
      <c r="G322" s="14"/>
    </row>
    <row r="323" spans="5:7" ht="18" customHeight="1">
      <c r="E323" s="14"/>
      <c r="G323" s="14"/>
    </row>
    <row r="324" spans="5:7" ht="18" customHeight="1">
      <c r="E324" s="14"/>
      <c r="G324" s="14"/>
    </row>
    <row r="325" spans="5:7" ht="18" customHeight="1">
      <c r="E325" s="14"/>
      <c r="G325" s="14"/>
    </row>
    <row r="326" spans="5:7" ht="18" customHeight="1">
      <c r="E326" s="14"/>
      <c r="G326" s="14"/>
    </row>
    <row r="327" spans="5:7" ht="18" customHeight="1">
      <c r="E327" s="14"/>
      <c r="G327" s="14"/>
    </row>
    <row r="328" spans="5:7" ht="18" customHeight="1">
      <c r="E328" s="14"/>
      <c r="G328" s="14"/>
    </row>
    <row r="329" spans="5:7" ht="18" customHeight="1">
      <c r="E329" s="14"/>
      <c r="G329" s="14"/>
    </row>
    <row r="330" spans="5:7" ht="18" customHeight="1">
      <c r="E330" s="14"/>
      <c r="G330" s="14"/>
    </row>
    <row r="331" spans="5:7" ht="18" customHeight="1">
      <c r="E331" s="14"/>
      <c r="G331" s="14"/>
    </row>
    <row r="332" spans="5:7" ht="18" customHeight="1">
      <c r="E332" s="14"/>
      <c r="G332" s="14"/>
    </row>
    <row r="333" spans="5:7" ht="18" customHeight="1">
      <c r="E333" s="14"/>
      <c r="G333" s="14"/>
    </row>
    <row r="334" spans="5:7" ht="18" customHeight="1">
      <c r="E334" s="14"/>
      <c r="G334" s="14"/>
    </row>
    <row r="335" spans="5:7" ht="18" customHeight="1">
      <c r="E335" s="14"/>
      <c r="G335" s="14"/>
    </row>
    <row r="336" spans="5:7" ht="18" customHeight="1">
      <c r="E336" s="14"/>
      <c r="G336" s="14"/>
    </row>
    <row r="337" spans="5:7" ht="18" customHeight="1">
      <c r="E337" s="14"/>
      <c r="G337" s="14"/>
    </row>
    <row r="338" spans="5:7" ht="18" customHeight="1">
      <c r="E338" s="14"/>
      <c r="G338" s="14"/>
    </row>
    <row r="339" spans="5:7" ht="18" customHeight="1">
      <c r="E339" s="14"/>
      <c r="G339" s="14"/>
    </row>
    <row r="340" spans="5:7" ht="18" customHeight="1">
      <c r="E340" s="14"/>
      <c r="G340" s="14"/>
    </row>
    <row r="341" spans="5:7" ht="18" customHeight="1">
      <c r="E341" s="14"/>
      <c r="G341" s="14"/>
    </row>
    <row r="342" spans="5:7" ht="18" customHeight="1">
      <c r="E342" s="14"/>
      <c r="G342" s="14"/>
    </row>
    <row r="343" spans="5:7" ht="18" customHeight="1">
      <c r="E343" s="14"/>
      <c r="G343" s="14"/>
    </row>
    <row r="344" spans="5:7" ht="18" customHeight="1">
      <c r="E344" s="14"/>
      <c r="G344" s="14"/>
    </row>
    <row r="345" spans="5:7" ht="18" customHeight="1">
      <c r="E345" s="14"/>
      <c r="G345" s="14"/>
    </row>
    <row r="346" spans="5:7" ht="18" customHeight="1">
      <c r="E346" s="14"/>
      <c r="G346" s="14"/>
    </row>
    <row r="347" spans="5:7" ht="18" customHeight="1">
      <c r="E347" s="14"/>
      <c r="G347" s="14"/>
    </row>
    <row r="348" spans="5:7" ht="18" customHeight="1">
      <c r="E348" s="14"/>
      <c r="G348" s="14"/>
    </row>
    <row r="349" spans="5:7" ht="18" customHeight="1">
      <c r="E349" s="14"/>
      <c r="G349" s="14"/>
    </row>
    <row r="350" spans="5:7" ht="18" customHeight="1">
      <c r="E350" s="14"/>
      <c r="G350" s="14"/>
    </row>
    <row r="351" spans="5:7" ht="18" customHeight="1">
      <c r="E351" s="14"/>
      <c r="G351" s="14"/>
    </row>
    <row r="352" spans="5:7" ht="18" customHeight="1">
      <c r="E352" s="14"/>
      <c r="G352" s="14"/>
    </row>
    <row r="353" spans="5:7" ht="18" customHeight="1">
      <c r="E353" s="14"/>
      <c r="G353" s="14"/>
    </row>
    <row r="354" spans="5:7" ht="18" customHeight="1">
      <c r="E354" s="14"/>
      <c r="G354" s="14"/>
    </row>
    <row r="355" spans="5:7" ht="18" customHeight="1">
      <c r="E355" s="14"/>
      <c r="G355" s="14"/>
    </row>
    <row r="356" spans="5:7" ht="18" customHeight="1">
      <c r="E356" s="14"/>
      <c r="G356" s="14"/>
    </row>
    <row r="357" spans="5:7" ht="18" customHeight="1">
      <c r="E357" s="14"/>
      <c r="G357" s="14"/>
    </row>
    <row r="358" spans="5:7" ht="18" customHeight="1">
      <c r="E358" s="14"/>
      <c r="G358" s="14"/>
    </row>
    <row r="359" spans="5:7" ht="18" customHeight="1">
      <c r="E359" s="14"/>
      <c r="G359" s="14"/>
    </row>
    <row r="360" spans="5:7" ht="18" customHeight="1">
      <c r="E360" s="14"/>
      <c r="G360" s="14"/>
    </row>
    <row r="361" spans="5:7" ht="18" customHeight="1">
      <c r="E361" s="14"/>
      <c r="G361" s="14"/>
    </row>
    <row r="362" spans="5:7" ht="18" customHeight="1">
      <c r="E362" s="14"/>
      <c r="G362" s="14"/>
    </row>
    <row r="363" spans="5:7" ht="18" customHeight="1">
      <c r="E363" s="14"/>
      <c r="G363" s="14"/>
    </row>
    <row r="364" spans="5:7" ht="18" customHeight="1">
      <c r="E364" s="14"/>
      <c r="G364" s="14"/>
    </row>
    <row r="365" spans="5:7" ht="18" customHeight="1">
      <c r="E365" s="14"/>
      <c r="G365" s="14"/>
    </row>
    <row r="366" spans="5:7" ht="18" customHeight="1">
      <c r="E366" s="14"/>
      <c r="G366" s="14"/>
    </row>
    <row r="367" spans="5:7" ht="18" customHeight="1">
      <c r="E367" s="14"/>
      <c r="G367" s="14"/>
    </row>
    <row r="368" spans="5:7" ht="18" customHeight="1">
      <c r="E368" s="14"/>
      <c r="G368" s="14"/>
    </row>
    <row r="369" spans="5:7" ht="18" customHeight="1">
      <c r="E369" s="14"/>
      <c r="G369" s="14"/>
    </row>
    <row r="370" spans="5:7" ht="18" customHeight="1">
      <c r="E370" s="14"/>
      <c r="G370" s="14"/>
    </row>
    <row r="371" spans="5:7" ht="18" customHeight="1">
      <c r="E371" s="14"/>
      <c r="G371" s="14"/>
    </row>
    <row r="372" spans="5:7" ht="18" customHeight="1">
      <c r="E372" s="14"/>
      <c r="G372" s="14"/>
    </row>
    <row r="373" spans="5:7" ht="18" customHeight="1">
      <c r="E373" s="14"/>
      <c r="G373" s="14"/>
    </row>
    <row r="374" spans="5:7" ht="18" customHeight="1">
      <c r="E374" s="14"/>
      <c r="G374" s="14"/>
    </row>
    <row r="375" spans="5:7" ht="18" customHeight="1">
      <c r="E375" s="14"/>
      <c r="G375" s="14"/>
    </row>
    <row r="376" spans="5:7" ht="18" customHeight="1">
      <c r="E376" s="14"/>
      <c r="G376" s="14"/>
    </row>
    <row r="377" spans="5:7" ht="18" customHeight="1">
      <c r="E377" s="14"/>
      <c r="G377" s="14"/>
    </row>
    <row r="378" spans="5:7" ht="18" customHeight="1">
      <c r="E378" s="14"/>
      <c r="G378" s="14"/>
    </row>
    <row r="379" spans="5:7" ht="18" customHeight="1">
      <c r="E379" s="14"/>
      <c r="G379" s="14"/>
    </row>
    <row r="380" spans="5:7" ht="18" customHeight="1">
      <c r="E380" s="14"/>
      <c r="G380" s="14"/>
    </row>
    <row r="381" spans="5:7" ht="18" customHeight="1">
      <c r="E381" s="14"/>
      <c r="G381" s="14"/>
    </row>
    <row r="382" spans="5:7" ht="18" customHeight="1">
      <c r="E382" s="14"/>
      <c r="G382" s="14"/>
    </row>
    <row r="383" spans="5:7" ht="18" customHeight="1">
      <c r="E383" s="14"/>
      <c r="G383" s="14"/>
    </row>
    <row r="384" spans="5:7" ht="18" customHeight="1">
      <c r="E384" s="14"/>
      <c r="G384" s="14"/>
    </row>
    <row r="385" spans="5:7" ht="18" customHeight="1">
      <c r="E385" s="14"/>
      <c r="G385" s="14"/>
    </row>
    <row r="386" spans="5:7" ht="18" customHeight="1">
      <c r="E386" s="14"/>
      <c r="G386" s="14"/>
    </row>
    <row r="387" spans="5:7" ht="18" customHeight="1">
      <c r="E387" s="14"/>
      <c r="G387" s="14"/>
    </row>
    <row r="388" spans="5:7" ht="18" customHeight="1">
      <c r="E388" s="14"/>
      <c r="G388" s="14"/>
    </row>
    <row r="389" spans="5:7" ht="18" customHeight="1">
      <c r="E389" s="14"/>
      <c r="G389" s="14"/>
    </row>
    <row r="390" spans="5:7" ht="18" customHeight="1">
      <c r="E390" s="14"/>
      <c r="G390" s="14"/>
    </row>
    <row r="391" spans="5:7" ht="18" customHeight="1">
      <c r="E391" s="14"/>
      <c r="G391" s="14"/>
    </row>
    <row r="392" spans="5:7" ht="18" customHeight="1">
      <c r="E392" s="14"/>
      <c r="G392" s="14"/>
    </row>
    <row r="393" spans="5:7" ht="18" customHeight="1">
      <c r="E393" s="14"/>
      <c r="G393" s="14"/>
    </row>
    <row r="394" spans="5:7" ht="18" customHeight="1">
      <c r="E394" s="14"/>
      <c r="G394" s="14"/>
    </row>
    <row r="395" spans="5:7" ht="18" customHeight="1">
      <c r="E395" s="14"/>
      <c r="G395" s="14"/>
    </row>
    <row r="396" spans="5:7" ht="18" customHeight="1">
      <c r="E396" s="14"/>
      <c r="G396" s="14"/>
    </row>
    <row r="397" spans="5:7" ht="18" customHeight="1">
      <c r="E397" s="14"/>
      <c r="G397" s="14"/>
    </row>
    <row r="398" spans="5:7" ht="18" customHeight="1">
      <c r="E398" s="14"/>
      <c r="G398" s="14"/>
    </row>
    <row r="399" spans="5:7" ht="18" customHeight="1">
      <c r="E399" s="14"/>
      <c r="G399" s="14"/>
    </row>
    <row r="400" spans="5:7" ht="18" customHeight="1">
      <c r="E400" s="14"/>
      <c r="G400" s="14"/>
    </row>
    <row r="401" spans="5:7" ht="18" customHeight="1">
      <c r="E401" s="14"/>
      <c r="G401" s="14"/>
    </row>
    <row r="402" spans="5:7" ht="18" customHeight="1">
      <c r="E402" s="14"/>
      <c r="G402" s="14"/>
    </row>
    <row r="403" spans="5:7" ht="18" customHeight="1">
      <c r="E403" s="14"/>
      <c r="G403" s="14"/>
    </row>
    <row r="404" spans="5:7" ht="18" customHeight="1">
      <c r="E404" s="14"/>
      <c r="G404" s="14"/>
    </row>
    <row r="405" spans="5:7" ht="18" customHeight="1">
      <c r="E405" s="14"/>
      <c r="G405" s="14"/>
    </row>
    <row r="406" spans="5:7" ht="18" customHeight="1">
      <c r="E406" s="14"/>
      <c r="G406" s="14"/>
    </row>
    <row r="407" spans="5:7" ht="18" customHeight="1">
      <c r="E407" s="14"/>
      <c r="G407" s="14"/>
    </row>
    <row r="408" spans="5:7" ht="18" customHeight="1">
      <c r="E408" s="14"/>
      <c r="G408" s="14"/>
    </row>
    <row r="409" spans="5:7" ht="18" customHeight="1">
      <c r="E409" s="14"/>
      <c r="G409" s="14"/>
    </row>
    <row r="410" spans="5:7" ht="18" customHeight="1">
      <c r="E410" s="14"/>
      <c r="G410" s="14"/>
    </row>
    <row r="411" spans="5:7" ht="18" customHeight="1">
      <c r="E411" s="14"/>
      <c r="G411" s="14"/>
    </row>
    <row r="412" spans="5:7" ht="18" customHeight="1">
      <c r="E412" s="14"/>
      <c r="G412" s="14"/>
    </row>
    <row r="413" spans="5:7" ht="18" customHeight="1">
      <c r="E413" s="14"/>
      <c r="G413" s="14"/>
    </row>
    <row r="414" spans="5:7" ht="18" customHeight="1">
      <c r="E414" s="14"/>
      <c r="G414" s="14"/>
    </row>
    <row r="415" spans="5:7" ht="18" customHeight="1">
      <c r="E415" s="14"/>
      <c r="G415" s="14"/>
    </row>
    <row r="416" spans="5:7" ht="18" customHeight="1">
      <c r="E416" s="14"/>
      <c r="G416" s="14"/>
    </row>
    <row r="417" spans="5:7" ht="18" customHeight="1">
      <c r="E417" s="14"/>
      <c r="G417" s="14"/>
    </row>
    <row r="418" spans="5:7" ht="18" customHeight="1">
      <c r="E418" s="14"/>
      <c r="G418" s="14"/>
    </row>
    <row r="419" spans="5:7" ht="18" customHeight="1">
      <c r="E419" s="14"/>
      <c r="G419" s="14"/>
    </row>
    <row r="420" spans="5:7" ht="18" customHeight="1">
      <c r="E420" s="14"/>
      <c r="G420" s="14"/>
    </row>
    <row r="421" spans="5:7" ht="18" customHeight="1">
      <c r="E421" s="14"/>
      <c r="G421" s="14"/>
    </row>
    <row r="422" spans="5:7" ht="18" customHeight="1">
      <c r="E422" s="14"/>
      <c r="G422" s="14"/>
    </row>
    <row r="423" spans="5:7" ht="18" customHeight="1">
      <c r="E423" s="14"/>
      <c r="G423" s="14"/>
    </row>
    <row r="424" spans="5:7" ht="18" customHeight="1">
      <c r="E424" s="14"/>
      <c r="G424" s="14"/>
    </row>
    <row r="425" spans="5:7" ht="18" customHeight="1">
      <c r="E425" s="14"/>
      <c r="G425" s="14"/>
    </row>
    <row r="426" spans="5:7" ht="18" customHeight="1">
      <c r="E426" s="14"/>
      <c r="G426" s="14"/>
    </row>
    <row r="427" spans="5:7" ht="18" customHeight="1">
      <c r="E427" s="14"/>
      <c r="G427" s="14"/>
    </row>
    <row r="428" spans="5:7" ht="18" customHeight="1">
      <c r="E428" s="14"/>
      <c r="G428" s="14"/>
    </row>
    <row r="429" spans="5:7" ht="18" customHeight="1">
      <c r="E429" s="14"/>
      <c r="G429" s="14"/>
    </row>
    <row r="430" spans="5:7" ht="18" customHeight="1">
      <c r="E430" s="14"/>
      <c r="G430" s="14"/>
    </row>
    <row r="431" spans="5:7" ht="18" customHeight="1">
      <c r="E431" s="14"/>
      <c r="G431" s="14"/>
    </row>
    <row r="432" spans="5:7" ht="18" customHeight="1">
      <c r="E432" s="14"/>
      <c r="G432" s="14"/>
    </row>
    <row r="433" spans="5:7" ht="18" customHeight="1">
      <c r="E433" s="14"/>
      <c r="G433" s="14"/>
    </row>
    <row r="434" spans="5:7" ht="18" customHeight="1">
      <c r="E434" s="14"/>
      <c r="G434" s="14"/>
    </row>
    <row r="435" spans="5:7" ht="18" customHeight="1">
      <c r="E435" s="14"/>
      <c r="G435" s="14"/>
    </row>
    <row r="436" spans="5:7" ht="18" customHeight="1">
      <c r="E436" s="14"/>
      <c r="G436" s="14"/>
    </row>
    <row r="437" spans="5:7" ht="18" customHeight="1">
      <c r="E437" s="14"/>
      <c r="G437" s="14"/>
    </row>
    <row r="438" spans="5:7" ht="18" customHeight="1">
      <c r="E438" s="14"/>
      <c r="G438" s="14"/>
    </row>
    <row r="439" spans="5:7" ht="18" customHeight="1">
      <c r="E439" s="14"/>
      <c r="G439" s="14"/>
    </row>
    <row r="440" spans="5:7" ht="18" customHeight="1">
      <c r="E440" s="14"/>
      <c r="G440" s="14"/>
    </row>
    <row r="441" spans="5:7" ht="18" customHeight="1">
      <c r="E441" s="14"/>
      <c r="G441" s="14"/>
    </row>
    <row r="442" spans="5:7" ht="18" customHeight="1">
      <c r="E442" s="14"/>
      <c r="G442" s="14"/>
    </row>
    <row r="443" spans="5:7" ht="18" customHeight="1">
      <c r="E443" s="14"/>
      <c r="G443" s="14"/>
    </row>
    <row r="444" spans="5:7" ht="18" customHeight="1">
      <c r="E444" s="14"/>
      <c r="G444" s="14"/>
    </row>
    <row r="445" spans="5:7" ht="18" customHeight="1">
      <c r="E445" s="14"/>
      <c r="G445" s="14"/>
    </row>
    <row r="446" spans="5:7" ht="18" customHeight="1">
      <c r="E446" s="14"/>
      <c r="G446" s="14"/>
    </row>
    <row r="447" spans="5:7" ht="18" customHeight="1">
      <c r="E447" s="14"/>
      <c r="G447" s="14"/>
    </row>
    <row r="448" spans="5:7" ht="18" customHeight="1">
      <c r="E448" s="14"/>
      <c r="G448" s="14"/>
    </row>
    <row r="449" spans="5:7" ht="18" customHeight="1">
      <c r="E449" s="14"/>
      <c r="G449" s="14"/>
    </row>
    <row r="450" spans="5:7" ht="18" customHeight="1">
      <c r="E450" s="14"/>
      <c r="G450" s="14"/>
    </row>
    <row r="451" spans="5:7" ht="18" customHeight="1">
      <c r="E451" s="14"/>
      <c r="G451" s="14"/>
    </row>
    <row r="452" spans="5:7" ht="18" customHeight="1">
      <c r="E452" s="14"/>
      <c r="G452" s="14"/>
    </row>
    <row r="453" spans="5:7" ht="18" customHeight="1">
      <c r="E453" s="14"/>
      <c r="G453" s="14"/>
    </row>
    <row r="454" spans="5:7" ht="18" customHeight="1">
      <c r="E454" s="14"/>
      <c r="G454" s="14"/>
    </row>
    <row r="455" spans="5:7" ht="18" customHeight="1">
      <c r="E455" s="14"/>
      <c r="G455" s="14"/>
    </row>
    <row r="456" spans="5:7" ht="18" customHeight="1">
      <c r="E456" s="14"/>
      <c r="G456" s="14"/>
    </row>
    <row r="457" spans="5:7" ht="18" customHeight="1">
      <c r="E457" s="14"/>
      <c r="G457" s="14"/>
    </row>
    <row r="458" spans="5:7" ht="18" customHeight="1">
      <c r="E458" s="14"/>
      <c r="G458" s="14"/>
    </row>
    <row r="459" spans="5:7" ht="18" customHeight="1">
      <c r="E459" s="14"/>
      <c r="G459" s="14"/>
    </row>
    <row r="460" spans="5:7" ht="18" customHeight="1">
      <c r="E460" s="14"/>
      <c r="G460" s="14"/>
    </row>
    <row r="461" spans="5:7" ht="18" customHeight="1">
      <c r="E461" s="14"/>
      <c r="G461" s="14"/>
    </row>
    <row r="462" spans="5:7" ht="18" customHeight="1">
      <c r="E462" s="14"/>
      <c r="G462" s="14"/>
    </row>
    <row r="463" spans="5:7" ht="18" customHeight="1">
      <c r="E463" s="14"/>
      <c r="G463" s="14"/>
    </row>
    <row r="464" spans="5:7" ht="18" customHeight="1">
      <c r="E464" s="14"/>
      <c r="G464" s="14"/>
    </row>
    <row r="465" spans="5:7" ht="18" customHeight="1">
      <c r="E465" s="14"/>
      <c r="G465" s="14"/>
    </row>
    <row r="466" spans="5:7" ht="18" customHeight="1">
      <c r="E466" s="14"/>
      <c r="G466" s="14"/>
    </row>
    <row r="467" spans="5:7" ht="18" customHeight="1">
      <c r="E467" s="14"/>
      <c r="G467" s="14"/>
    </row>
    <row r="468" spans="5:7" ht="18" customHeight="1">
      <c r="E468" s="14"/>
      <c r="G468" s="14"/>
    </row>
    <row r="469" spans="5:7" ht="18" customHeight="1">
      <c r="E469" s="14"/>
      <c r="G469" s="14"/>
    </row>
    <row r="470" spans="5:7" ht="18" customHeight="1">
      <c r="E470" s="14"/>
      <c r="G470" s="14"/>
    </row>
    <row r="471" spans="5:7" ht="18" customHeight="1">
      <c r="E471" s="14"/>
      <c r="G471" s="14"/>
    </row>
    <row r="472" spans="5:7" ht="18" customHeight="1">
      <c r="E472" s="14"/>
      <c r="G472" s="14"/>
    </row>
    <row r="473" spans="5:7" ht="18" customHeight="1">
      <c r="E473" s="14"/>
      <c r="G473" s="14"/>
    </row>
    <row r="474" spans="5:7" ht="18" customHeight="1">
      <c r="E474" s="14"/>
      <c r="G474" s="14"/>
    </row>
    <row r="475" spans="5:7" ht="18" customHeight="1">
      <c r="E475" s="14"/>
      <c r="G475" s="14"/>
    </row>
    <row r="476" spans="5:7" ht="18" customHeight="1">
      <c r="E476" s="14"/>
      <c r="G476" s="14"/>
    </row>
    <row r="477" spans="5:7" ht="18" customHeight="1">
      <c r="E477" s="14"/>
      <c r="G477" s="14"/>
    </row>
    <row r="478" spans="5:7" ht="18" customHeight="1">
      <c r="E478" s="14"/>
      <c r="G478" s="14"/>
    </row>
    <row r="479" spans="5:7" ht="18" customHeight="1">
      <c r="E479" s="14"/>
      <c r="G479" s="14"/>
    </row>
    <row r="480" spans="5:7" ht="18" customHeight="1">
      <c r="E480" s="14"/>
      <c r="G480" s="14"/>
    </row>
    <row r="481" spans="5:7" ht="18" customHeight="1">
      <c r="E481" s="14"/>
      <c r="G481" s="14"/>
    </row>
    <row r="482" spans="5:7" ht="18" customHeight="1">
      <c r="E482" s="14"/>
      <c r="G482" s="14"/>
    </row>
    <row r="483" spans="5:7" ht="18" customHeight="1">
      <c r="E483" s="14"/>
      <c r="G483" s="14"/>
    </row>
    <row r="484" spans="5:7" ht="18" customHeight="1">
      <c r="E484" s="14"/>
      <c r="G484" s="14"/>
    </row>
    <row r="485" spans="5:7" ht="18" customHeight="1">
      <c r="E485" s="14"/>
      <c r="G485" s="14"/>
    </row>
    <row r="486" spans="5:7" ht="18" customHeight="1">
      <c r="E486" s="14"/>
      <c r="G486" s="14"/>
    </row>
    <row r="487" spans="5:7" ht="18" customHeight="1">
      <c r="E487" s="14"/>
      <c r="G487" s="14"/>
    </row>
    <row r="488" spans="5:7" ht="18" customHeight="1">
      <c r="E488" s="14"/>
      <c r="G488" s="14"/>
    </row>
    <row r="489" spans="5:7" ht="18" customHeight="1">
      <c r="E489" s="14"/>
      <c r="G489" s="14"/>
    </row>
    <row r="490" spans="5:7" ht="18" customHeight="1">
      <c r="E490" s="14"/>
      <c r="G490" s="14"/>
    </row>
    <row r="491" spans="5:7" ht="18" customHeight="1">
      <c r="E491" s="14"/>
      <c r="G491" s="14"/>
    </row>
    <row r="492" spans="5:7" ht="18" customHeight="1">
      <c r="E492" s="14"/>
      <c r="G492" s="14"/>
    </row>
    <row r="493" spans="5:7" ht="18" customHeight="1">
      <c r="E493" s="14"/>
      <c r="G493" s="14"/>
    </row>
    <row r="494" spans="5:7" ht="18" customHeight="1">
      <c r="E494" s="14"/>
      <c r="G494" s="14"/>
    </row>
    <row r="495" spans="5:7" ht="18" customHeight="1">
      <c r="E495" s="14"/>
      <c r="G495" s="14"/>
    </row>
    <row r="496" spans="5:7" ht="18" customHeight="1">
      <c r="E496" s="14"/>
      <c r="G496" s="14"/>
    </row>
    <row r="497" spans="5:7" ht="18" customHeight="1">
      <c r="E497" s="14"/>
      <c r="G497" s="14"/>
    </row>
    <row r="498" spans="5:7" ht="18" customHeight="1">
      <c r="E498" s="14"/>
      <c r="G498" s="14"/>
    </row>
    <row r="499" spans="5:7" ht="18" customHeight="1">
      <c r="E499" s="14"/>
      <c r="G499" s="14"/>
    </row>
    <row r="500" spans="5:7" ht="18" customHeight="1">
      <c r="E500" s="14"/>
      <c r="G500" s="14"/>
    </row>
    <row r="501" spans="5:7" ht="18" customHeight="1">
      <c r="E501" s="14"/>
      <c r="G501" s="14"/>
    </row>
    <row r="502" spans="5:7" ht="18" customHeight="1">
      <c r="E502" s="14"/>
      <c r="G502" s="14"/>
    </row>
    <row r="503" spans="5:7" ht="18" customHeight="1">
      <c r="E503" s="14"/>
      <c r="G503" s="14"/>
    </row>
    <row r="504" spans="5:7" ht="18" customHeight="1">
      <c r="E504" s="14"/>
      <c r="G504" s="14"/>
    </row>
    <row r="505" spans="5:7" ht="18" customHeight="1">
      <c r="E505" s="14"/>
      <c r="G505" s="14"/>
    </row>
    <row r="506" spans="5:7" ht="18" customHeight="1">
      <c r="E506" s="14"/>
      <c r="G506" s="14"/>
    </row>
    <row r="507" spans="5:7" ht="18" customHeight="1">
      <c r="E507" s="14"/>
      <c r="G507" s="14"/>
    </row>
    <row r="508" spans="5:7" ht="18" customHeight="1">
      <c r="E508" s="14"/>
      <c r="G508" s="14"/>
    </row>
    <row r="509" spans="5:7" ht="18" customHeight="1">
      <c r="E509" s="14"/>
      <c r="G509" s="14"/>
    </row>
    <row r="510" spans="5:7" ht="18" customHeight="1">
      <c r="E510" s="14"/>
      <c r="G510" s="14"/>
    </row>
    <row r="511" spans="5:7" ht="18" customHeight="1">
      <c r="E511" s="14"/>
      <c r="G511" s="14"/>
    </row>
    <row r="512" spans="5:7" ht="18" customHeight="1">
      <c r="E512" s="14"/>
      <c r="G512" s="14"/>
    </row>
    <row r="513" spans="5:7" ht="18" customHeight="1">
      <c r="E513" s="14"/>
      <c r="G513" s="14"/>
    </row>
    <row r="514" spans="5:7" ht="18" customHeight="1">
      <c r="E514" s="14"/>
      <c r="G514" s="14"/>
    </row>
    <row r="515" spans="5:7" ht="18" customHeight="1">
      <c r="E515" s="14"/>
      <c r="G515" s="14"/>
    </row>
    <row r="516" spans="5:7" ht="18" customHeight="1">
      <c r="E516" s="14"/>
      <c r="G516" s="14"/>
    </row>
    <row r="517" spans="5:7" ht="18" customHeight="1">
      <c r="E517" s="14"/>
      <c r="G517" s="14"/>
    </row>
    <row r="518" spans="5:7" ht="18" customHeight="1">
      <c r="E518" s="14"/>
      <c r="G518" s="14"/>
    </row>
    <row r="519" spans="5:7" ht="18" customHeight="1">
      <c r="E519" s="14"/>
      <c r="G519" s="14"/>
    </row>
    <row r="520" spans="5:7" ht="18" customHeight="1">
      <c r="E520" s="14"/>
      <c r="G520" s="14"/>
    </row>
    <row r="521" spans="5:7" ht="18" customHeight="1">
      <c r="E521" s="14"/>
      <c r="G521" s="14"/>
    </row>
    <row r="522" spans="5:7" ht="18" customHeight="1">
      <c r="E522" s="14"/>
      <c r="G522" s="14"/>
    </row>
    <row r="523" spans="5:7" ht="18" customHeight="1">
      <c r="E523" s="14"/>
      <c r="G523" s="14"/>
    </row>
    <row r="524" spans="5:7" ht="18" customHeight="1">
      <c r="E524" s="14"/>
      <c r="G524" s="14"/>
    </row>
    <row r="525" spans="5:7" ht="18" customHeight="1">
      <c r="E525" s="14"/>
      <c r="G525" s="14"/>
    </row>
    <row r="526" spans="5:7" ht="18" customHeight="1">
      <c r="E526" s="14"/>
      <c r="G526" s="14"/>
    </row>
    <row r="527" spans="5:7" ht="18" customHeight="1">
      <c r="E527" s="14"/>
      <c r="G527" s="14"/>
    </row>
    <row r="528" spans="5:7" ht="18" customHeight="1">
      <c r="E528" s="14"/>
      <c r="G528" s="14"/>
    </row>
    <row r="529" spans="5:7" ht="18" customHeight="1">
      <c r="E529" s="14"/>
      <c r="G529" s="14"/>
    </row>
    <row r="530" spans="5:7" ht="18" customHeight="1">
      <c r="E530" s="14"/>
      <c r="G530" s="14"/>
    </row>
    <row r="531" spans="5:7" ht="18" customHeight="1">
      <c r="E531" s="14"/>
      <c r="G531" s="14"/>
    </row>
    <row r="532" spans="5:7" ht="18" customHeight="1">
      <c r="E532" s="14"/>
      <c r="G532" s="14"/>
    </row>
    <row r="533" spans="5:7" ht="18" customHeight="1">
      <c r="E533" s="14"/>
      <c r="G533" s="14"/>
    </row>
    <row r="534" spans="5:7" ht="18" customHeight="1">
      <c r="E534" s="14"/>
      <c r="G534" s="14"/>
    </row>
    <row r="535" spans="5:7" ht="18" customHeight="1">
      <c r="E535" s="14"/>
      <c r="G535" s="14"/>
    </row>
    <row r="536" spans="5:7" ht="18" customHeight="1">
      <c r="E536" s="14"/>
      <c r="G536" s="14"/>
    </row>
    <row r="537" spans="5:7" ht="18" customHeight="1">
      <c r="E537" s="14"/>
      <c r="G537" s="14"/>
    </row>
    <row r="538" spans="5:7" ht="18" customHeight="1">
      <c r="E538" s="14"/>
      <c r="G538" s="14"/>
    </row>
    <row r="539" spans="5:7" ht="18" customHeight="1">
      <c r="E539" s="14"/>
      <c r="G539" s="14"/>
    </row>
    <row r="540" spans="5:7" ht="18" customHeight="1">
      <c r="E540" s="14"/>
      <c r="G540" s="14"/>
    </row>
    <row r="541" spans="5:7" ht="18" customHeight="1">
      <c r="E541" s="14"/>
      <c r="G541" s="14"/>
    </row>
    <row r="542" spans="5:7" ht="18" customHeight="1">
      <c r="E542" s="14"/>
      <c r="G542" s="14"/>
    </row>
    <row r="543" spans="5:7" ht="18" customHeight="1">
      <c r="E543" s="14"/>
      <c r="G543" s="14"/>
    </row>
    <row r="544" spans="5:7" ht="18" customHeight="1">
      <c r="E544" s="14"/>
      <c r="G544" s="14"/>
    </row>
    <row r="545" spans="5:7" ht="18" customHeight="1">
      <c r="E545" s="14"/>
      <c r="G545" s="14"/>
    </row>
    <row r="546" spans="5:7" ht="18" customHeight="1">
      <c r="E546" s="14"/>
      <c r="G546" s="14"/>
    </row>
    <row r="547" spans="5:7" ht="18" customHeight="1">
      <c r="E547" s="14"/>
      <c r="G547" s="14"/>
    </row>
    <row r="548" spans="5:7" ht="18" customHeight="1">
      <c r="E548" s="14"/>
      <c r="G548" s="14"/>
    </row>
    <row r="549" spans="5:7" ht="18" customHeight="1">
      <c r="E549" s="14"/>
      <c r="G549" s="14"/>
    </row>
    <row r="550" spans="5:7" ht="18" customHeight="1">
      <c r="E550" s="14"/>
      <c r="G550" s="14"/>
    </row>
    <row r="551" spans="5:7" ht="18" customHeight="1">
      <c r="E551" s="14"/>
      <c r="G551" s="14"/>
    </row>
    <row r="552" spans="5:7" ht="18" customHeight="1">
      <c r="E552" s="14"/>
      <c r="G552" s="14"/>
    </row>
    <row r="553" spans="5:7" ht="18" customHeight="1">
      <c r="E553" s="14"/>
      <c r="G553" s="14"/>
    </row>
    <row r="554" spans="5:7" ht="18" customHeight="1">
      <c r="E554" s="14"/>
      <c r="G554" s="14"/>
    </row>
    <row r="555" spans="5:7" ht="18" customHeight="1">
      <c r="E555" s="14"/>
      <c r="G555" s="14"/>
    </row>
    <row r="556" spans="5:7" ht="18" customHeight="1">
      <c r="E556" s="14"/>
      <c r="G556" s="14"/>
    </row>
    <row r="557" spans="5:7" ht="18" customHeight="1">
      <c r="E557" s="14"/>
      <c r="G557" s="14"/>
    </row>
    <row r="558" spans="5:7" ht="18" customHeight="1">
      <c r="E558" s="14"/>
      <c r="G558" s="14"/>
    </row>
    <row r="559" spans="5:7" ht="18" customHeight="1">
      <c r="E559" s="14"/>
      <c r="G559" s="14"/>
    </row>
    <row r="560" spans="5:7" ht="18" customHeight="1">
      <c r="E560" s="14"/>
      <c r="G560" s="14"/>
    </row>
    <row r="561" spans="5:7" ht="18" customHeight="1">
      <c r="E561" s="14"/>
      <c r="G561" s="14"/>
    </row>
    <row r="562" spans="5:7" ht="18" customHeight="1">
      <c r="E562" s="14"/>
      <c r="G562" s="14"/>
    </row>
    <row r="563" spans="5:7" ht="18" customHeight="1">
      <c r="E563" s="14"/>
      <c r="G563" s="14"/>
    </row>
    <row r="564" spans="5:7" ht="18" customHeight="1">
      <c r="E564" s="14"/>
      <c r="G564" s="14"/>
    </row>
    <row r="565" spans="5:7" ht="18" customHeight="1">
      <c r="E565" s="14"/>
      <c r="G565" s="14"/>
    </row>
    <row r="566" spans="5:7" ht="18" customHeight="1">
      <c r="E566" s="14"/>
      <c r="G566" s="14"/>
    </row>
    <row r="567" spans="5:7" ht="18" customHeight="1">
      <c r="E567" s="14"/>
      <c r="G567" s="14"/>
    </row>
    <row r="568" spans="5:7" ht="18" customHeight="1">
      <c r="E568" s="14"/>
      <c r="G568" s="14"/>
    </row>
    <row r="569" spans="5:7" ht="18" customHeight="1">
      <c r="E569" s="14"/>
      <c r="G569" s="14"/>
    </row>
    <row r="570" spans="5:7" ht="18" customHeight="1">
      <c r="E570" s="14"/>
      <c r="G570" s="14"/>
    </row>
    <row r="571" spans="5:7" ht="18" customHeight="1">
      <c r="E571" s="14"/>
      <c r="G571" s="14"/>
    </row>
    <row r="572" spans="5:7" ht="18" customHeight="1">
      <c r="E572" s="14"/>
      <c r="G572" s="14"/>
    </row>
    <row r="573" spans="5:7" ht="18" customHeight="1">
      <c r="E573" s="14"/>
      <c r="G573" s="14"/>
    </row>
    <row r="574" spans="5:7" ht="18" customHeight="1">
      <c r="E574" s="14"/>
      <c r="G574" s="14"/>
    </row>
    <row r="575" spans="5:7" ht="18" customHeight="1">
      <c r="E575" s="14"/>
      <c r="G575" s="14"/>
    </row>
    <row r="576" spans="5:7" ht="18" customHeight="1">
      <c r="E576" s="14"/>
      <c r="G576" s="14"/>
    </row>
    <row r="577" spans="5:7" ht="18" customHeight="1">
      <c r="E577" s="14"/>
      <c r="G577" s="14"/>
    </row>
    <row r="578" spans="5:7" ht="18" customHeight="1">
      <c r="E578" s="14"/>
      <c r="G578" s="14"/>
    </row>
    <row r="579" spans="5:7" ht="18" customHeight="1">
      <c r="E579" s="14"/>
      <c r="G579" s="14"/>
    </row>
    <row r="580" spans="5:7" ht="18" customHeight="1">
      <c r="E580" s="14"/>
      <c r="G580" s="14"/>
    </row>
    <row r="581" spans="5:7" ht="18" customHeight="1">
      <c r="E581" s="14"/>
      <c r="G581" s="14"/>
    </row>
    <row r="582" spans="5:7" ht="18" customHeight="1">
      <c r="E582" s="14"/>
      <c r="G582" s="14"/>
    </row>
    <row r="583" spans="5:7" ht="18" customHeight="1">
      <c r="E583" s="14"/>
      <c r="G583" s="14"/>
    </row>
    <row r="584" spans="5:7" ht="18" customHeight="1">
      <c r="E584" s="14"/>
      <c r="G584" s="14"/>
    </row>
    <row r="585" spans="5:7" ht="18" customHeight="1">
      <c r="E585" s="14"/>
      <c r="G585" s="14"/>
    </row>
    <row r="586" spans="5:7" ht="18" customHeight="1">
      <c r="E586" s="14"/>
      <c r="G586" s="14"/>
    </row>
    <row r="587" spans="5:7" ht="18" customHeight="1">
      <c r="E587" s="14"/>
      <c r="G587" s="14"/>
    </row>
    <row r="588" spans="5:7" ht="18" customHeight="1">
      <c r="E588" s="14"/>
      <c r="G588" s="14"/>
    </row>
    <row r="589" spans="5:7" ht="18" customHeight="1">
      <c r="E589" s="14"/>
      <c r="G589" s="14"/>
    </row>
    <row r="590" spans="5:7" ht="18" customHeight="1">
      <c r="E590" s="14"/>
      <c r="G590" s="14"/>
    </row>
    <row r="591" spans="5:7" ht="18" customHeight="1">
      <c r="E591" s="14"/>
      <c r="G591" s="14"/>
    </row>
    <row r="592" spans="5:7" ht="18" customHeight="1">
      <c r="E592" s="14"/>
      <c r="G592" s="14"/>
    </row>
    <row r="593" spans="5:7" ht="18" customHeight="1">
      <c r="E593" s="14"/>
      <c r="G593" s="14"/>
    </row>
    <row r="594" spans="5:7" ht="18" customHeight="1">
      <c r="E594" s="14"/>
      <c r="G594" s="14"/>
    </row>
    <row r="595" spans="5:7" ht="18" customHeight="1">
      <c r="E595" s="14"/>
      <c r="G595" s="14"/>
    </row>
    <row r="596" spans="5:7" ht="18" customHeight="1">
      <c r="E596" s="14"/>
      <c r="G596" s="14"/>
    </row>
    <row r="597" spans="5:7" ht="18" customHeight="1">
      <c r="E597" s="14"/>
      <c r="G597" s="14"/>
    </row>
    <row r="598" spans="5:7" ht="18" customHeight="1">
      <c r="E598" s="14"/>
      <c r="G598" s="14"/>
    </row>
    <row r="599" spans="5:7" ht="18" customHeight="1">
      <c r="E599" s="14"/>
      <c r="G599" s="14"/>
    </row>
    <row r="600" spans="5:7" ht="18" customHeight="1">
      <c r="E600" s="14"/>
      <c r="G600" s="14"/>
    </row>
    <row r="601" spans="5:7" ht="18" customHeight="1">
      <c r="E601" s="14"/>
      <c r="G601" s="14"/>
    </row>
    <row r="602" spans="5:7" ht="18" customHeight="1">
      <c r="E602" s="14"/>
      <c r="G602" s="14"/>
    </row>
    <row r="603" spans="5:7" ht="18" customHeight="1">
      <c r="E603" s="14"/>
      <c r="G603" s="14"/>
    </row>
    <row r="604" spans="5:7" ht="18" customHeight="1">
      <c r="E604" s="14"/>
      <c r="G604" s="14"/>
    </row>
    <row r="605" spans="5:7" ht="18" customHeight="1">
      <c r="E605" s="14"/>
      <c r="G605" s="14"/>
    </row>
    <row r="606" spans="5:7" ht="18" customHeight="1">
      <c r="E606" s="14"/>
      <c r="G606" s="14"/>
    </row>
    <row r="607" spans="5:7" ht="18" customHeight="1">
      <c r="E607" s="14"/>
      <c r="G607" s="14"/>
    </row>
    <row r="608" spans="5:7" ht="18" customHeight="1">
      <c r="E608" s="14"/>
      <c r="G608" s="14"/>
    </row>
    <row r="609" spans="5:7" ht="18" customHeight="1">
      <c r="E609" s="14"/>
      <c r="G609" s="14"/>
    </row>
    <row r="610" spans="5:7" ht="18" customHeight="1">
      <c r="E610" s="14"/>
      <c r="G610" s="14"/>
    </row>
    <row r="611" spans="5:7" ht="18" customHeight="1">
      <c r="E611" s="14"/>
      <c r="G611" s="14"/>
    </row>
    <row r="612" spans="5:7" ht="18" customHeight="1">
      <c r="E612" s="14"/>
      <c r="G612" s="14"/>
    </row>
    <row r="613" spans="5:7" ht="18" customHeight="1">
      <c r="E613" s="14"/>
      <c r="G613" s="14"/>
    </row>
    <row r="614" spans="5:7" ht="18" customHeight="1">
      <c r="E614" s="14"/>
      <c r="G614" s="14"/>
    </row>
    <row r="615" spans="5:7" ht="18" customHeight="1">
      <c r="E615" s="14"/>
      <c r="G615" s="14"/>
    </row>
    <row r="616" spans="5:7" ht="18" customHeight="1">
      <c r="E616" s="14"/>
      <c r="G616" s="14"/>
    </row>
    <row r="617" spans="5:7" ht="18" customHeight="1">
      <c r="E617" s="14"/>
      <c r="G617" s="14"/>
    </row>
    <row r="618" spans="5:7" ht="18" customHeight="1">
      <c r="E618" s="14"/>
      <c r="G618" s="14"/>
    </row>
    <row r="619" spans="5:7" ht="18" customHeight="1">
      <c r="E619" s="14"/>
      <c r="G619" s="14"/>
    </row>
    <row r="620" spans="5:7" ht="18" customHeight="1">
      <c r="E620" s="14"/>
      <c r="G620" s="14"/>
    </row>
    <row r="621" spans="5:7" ht="18" customHeight="1">
      <c r="E621" s="14"/>
      <c r="G621" s="14"/>
    </row>
    <row r="622" spans="5:7" ht="18" customHeight="1">
      <c r="E622" s="14"/>
      <c r="G622" s="14"/>
    </row>
    <row r="623" spans="5:7" ht="18" customHeight="1">
      <c r="E623" s="14"/>
      <c r="G623" s="14"/>
    </row>
    <row r="624" spans="5:7" ht="18" customHeight="1">
      <c r="E624" s="14"/>
      <c r="G624" s="14"/>
    </row>
    <row r="625" spans="5:7" ht="18" customHeight="1">
      <c r="E625" s="14"/>
      <c r="G625" s="14"/>
    </row>
    <row r="626" spans="5:7" ht="18" customHeight="1">
      <c r="E626" s="14"/>
      <c r="G626" s="14"/>
    </row>
    <row r="627" spans="5:7" ht="18" customHeight="1">
      <c r="E627" s="14"/>
      <c r="G627" s="14"/>
    </row>
    <row r="628" spans="5:7" ht="18" customHeight="1">
      <c r="E628" s="14"/>
      <c r="G628" s="14"/>
    </row>
    <row r="629" spans="5:7" ht="18" customHeight="1">
      <c r="E629" s="14"/>
      <c r="G629" s="14"/>
    </row>
    <row r="630" spans="5:7" ht="18" customHeight="1">
      <c r="E630" s="14"/>
      <c r="G630" s="14"/>
    </row>
    <row r="631" spans="5:7" ht="18" customHeight="1">
      <c r="E631" s="14"/>
      <c r="G631" s="14"/>
    </row>
    <row r="632" spans="5:7" ht="18" customHeight="1">
      <c r="E632" s="14"/>
      <c r="G632" s="14"/>
    </row>
    <row r="633" spans="5:7" ht="18" customHeight="1">
      <c r="E633" s="14"/>
      <c r="G633" s="14"/>
    </row>
    <row r="634" spans="5:7" ht="18" customHeight="1">
      <c r="E634" s="14"/>
      <c r="G634" s="14"/>
    </row>
    <row r="635" spans="5:7" ht="18" customHeight="1">
      <c r="E635" s="14"/>
      <c r="G635" s="14"/>
    </row>
    <row r="636" spans="5:7" ht="18" customHeight="1">
      <c r="E636" s="14"/>
      <c r="G636" s="14"/>
    </row>
    <row r="637" spans="5:7" ht="18" customHeight="1">
      <c r="E637" s="14"/>
      <c r="G637" s="14"/>
    </row>
    <row r="638" spans="5:7" ht="18" customHeight="1">
      <c r="E638" s="14"/>
      <c r="G638" s="14"/>
    </row>
    <row r="639" spans="5:7" ht="18" customHeight="1">
      <c r="E639" s="14"/>
      <c r="G639" s="14"/>
    </row>
    <row r="640" spans="5:7" ht="18" customHeight="1">
      <c r="E640" s="14"/>
      <c r="G640" s="14"/>
    </row>
    <row r="641" spans="5:7" ht="18" customHeight="1">
      <c r="E641" s="14"/>
      <c r="G641" s="14"/>
    </row>
    <row r="642" spans="5:7" ht="18" customHeight="1">
      <c r="E642" s="14"/>
      <c r="G642" s="14"/>
    </row>
    <row r="643" spans="5:7" ht="18" customHeight="1">
      <c r="E643" s="14"/>
      <c r="G643" s="14"/>
    </row>
    <row r="644" spans="5:7" ht="18" customHeight="1">
      <c r="E644" s="14"/>
      <c r="G644" s="14"/>
    </row>
    <row r="645" spans="5:7" ht="18" customHeight="1">
      <c r="E645" s="14"/>
      <c r="G645" s="14"/>
    </row>
    <row r="646" spans="5:7" ht="18" customHeight="1">
      <c r="E646" s="14"/>
      <c r="G646" s="14"/>
    </row>
    <row r="647" spans="5:7" ht="18" customHeight="1">
      <c r="E647" s="14"/>
      <c r="G647" s="14"/>
    </row>
    <row r="648" spans="5:7" ht="18" customHeight="1">
      <c r="E648" s="14"/>
      <c r="G648" s="14"/>
    </row>
    <row r="649" spans="5:7" ht="18" customHeight="1">
      <c r="E649" s="14"/>
      <c r="G649" s="14"/>
    </row>
    <row r="650" spans="5:7" ht="18" customHeight="1">
      <c r="E650" s="14"/>
      <c r="G650" s="14"/>
    </row>
    <row r="651" spans="5:7" ht="18" customHeight="1">
      <c r="E651" s="14"/>
      <c r="G651" s="14"/>
    </row>
    <row r="652" spans="5:7" ht="18" customHeight="1">
      <c r="E652" s="14"/>
      <c r="G652" s="14"/>
    </row>
    <row r="653" spans="5:7" ht="18" customHeight="1">
      <c r="E653" s="14"/>
      <c r="G653" s="14"/>
    </row>
    <row r="654" spans="5:7" ht="18" customHeight="1">
      <c r="E654" s="14"/>
      <c r="G654" s="14"/>
    </row>
    <row r="655" spans="5:7" ht="18" customHeight="1">
      <c r="E655" s="14"/>
      <c r="G655" s="14"/>
    </row>
    <row r="656" spans="5:7" ht="18" customHeight="1">
      <c r="E656" s="14"/>
      <c r="G656" s="14"/>
    </row>
    <row r="657" spans="5:7" ht="18" customHeight="1">
      <c r="E657" s="14"/>
      <c r="G657" s="14"/>
    </row>
    <row r="658" spans="5:7" ht="18" customHeight="1">
      <c r="E658" s="14"/>
      <c r="G658" s="14"/>
    </row>
    <row r="659" spans="5:7" ht="18" customHeight="1">
      <c r="E659" s="14"/>
      <c r="G659" s="14"/>
    </row>
    <row r="660" spans="5:7" ht="18" customHeight="1">
      <c r="E660" s="14"/>
      <c r="G660" s="14"/>
    </row>
    <row r="661" spans="5:7" ht="18" customHeight="1">
      <c r="E661" s="14"/>
      <c r="G661" s="14"/>
    </row>
    <row r="662" spans="5:7" ht="18" customHeight="1">
      <c r="E662" s="14"/>
      <c r="G662" s="14"/>
    </row>
    <row r="663" spans="5:7" ht="18" customHeight="1">
      <c r="E663" s="14"/>
      <c r="G663" s="14"/>
    </row>
    <row r="664" spans="5:7" ht="18" customHeight="1">
      <c r="E664" s="14"/>
      <c r="G664" s="14"/>
    </row>
    <row r="665" spans="5:7" ht="18" customHeight="1">
      <c r="E665" s="14"/>
      <c r="G665" s="14"/>
    </row>
    <row r="666" spans="5:7" ht="18" customHeight="1">
      <c r="E666" s="14"/>
      <c r="G666" s="14"/>
    </row>
    <row r="667" spans="5:7" ht="18" customHeight="1">
      <c r="E667" s="14"/>
      <c r="G667" s="14"/>
    </row>
    <row r="668" spans="5:7" ht="18" customHeight="1">
      <c r="E668" s="14"/>
      <c r="G668" s="14"/>
    </row>
    <row r="669" spans="5:7" ht="18" customHeight="1">
      <c r="E669" s="14"/>
      <c r="G669" s="14"/>
    </row>
    <row r="670" spans="5:7" ht="18" customHeight="1">
      <c r="E670" s="14"/>
      <c r="G670" s="14"/>
    </row>
    <row r="671" spans="5:7" ht="18" customHeight="1">
      <c r="E671" s="14"/>
      <c r="G671" s="14"/>
    </row>
    <row r="672" spans="5:7" ht="18" customHeight="1">
      <c r="E672" s="14"/>
      <c r="G672" s="14"/>
    </row>
    <row r="673" spans="5:7" ht="18" customHeight="1">
      <c r="E673" s="14"/>
      <c r="G673" s="14"/>
    </row>
    <row r="674" spans="5:7" ht="18" customHeight="1">
      <c r="E674" s="14"/>
      <c r="G674" s="14"/>
    </row>
    <row r="675" spans="5:7" ht="18" customHeight="1">
      <c r="E675" s="14"/>
      <c r="G675" s="14"/>
    </row>
    <row r="676" spans="5:7" ht="18" customHeight="1">
      <c r="E676" s="14"/>
      <c r="G676" s="14"/>
    </row>
    <row r="677" spans="5:7" ht="18" customHeight="1">
      <c r="E677" s="14"/>
      <c r="G677" s="14"/>
    </row>
    <row r="678" spans="5:7" ht="18" customHeight="1">
      <c r="E678" s="14"/>
      <c r="G678" s="14"/>
    </row>
    <row r="679" spans="5:7" ht="18" customHeight="1">
      <c r="E679" s="14"/>
      <c r="G679" s="14"/>
    </row>
    <row r="680" spans="5:7" ht="18" customHeight="1">
      <c r="E680" s="14"/>
      <c r="G680" s="14"/>
    </row>
    <row r="681" spans="5:7" ht="18" customHeight="1">
      <c r="E681" s="14"/>
      <c r="G681" s="14"/>
    </row>
    <row r="682" spans="5:7" ht="18" customHeight="1">
      <c r="E682" s="14"/>
      <c r="G682" s="14"/>
    </row>
    <row r="683" spans="5:7" ht="18" customHeight="1">
      <c r="E683" s="14"/>
      <c r="G683" s="14"/>
    </row>
    <row r="684" spans="5:7" ht="18" customHeight="1">
      <c r="E684" s="14"/>
      <c r="G684" s="14"/>
    </row>
    <row r="685" spans="5:7" ht="18" customHeight="1">
      <c r="E685" s="14"/>
      <c r="G685" s="14"/>
    </row>
    <row r="686" spans="5:7" ht="18" customHeight="1">
      <c r="E686" s="14"/>
      <c r="G686" s="14"/>
    </row>
    <row r="687" spans="5:7" ht="18" customHeight="1">
      <c r="E687" s="14"/>
      <c r="G687" s="14"/>
    </row>
    <row r="688" spans="5:7" ht="18" customHeight="1">
      <c r="E688" s="14"/>
      <c r="G688" s="14"/>
    </row>
    <row r="689" spans="5:7" ht="18" customHeight="1">
      <c r="E689" s="14"/>
      <c r="G689" s="14"/>
    </row>
    <row r="690" spans="5:7" ht="18" customHeight="1">
      <c r="E690" s="14"/>
      <c r="G690" s="14"/>
    </row>
    <row r="691" spans="5:7" ht="18" customHeight="1">
      <c r="E691" s="14"/>
      <c r="G691" s="14"/>
    </row>
    <row r="692" spans="5:7" ht="18" customHeight="1">
      <c r="E692" s="14"/>
      <c r="G692" s="14"/>
    </row>
    <row r="693" spans="5:7" ht="18" customHeight="1">
      <c r="E693" s="14"/>
      <c r="G693" s="14"/>
    </row>
    <row r="694" spans="5:7" ht="18" customHeight="1">
      <c r="E694" s="14"/>
      <c r="G694" s="14"/>
    </row>
    <row r="695" spans="5:7" ht="18" customHeight="1">
      <c r="E695" s="14"/>
      <c r="G695" s="14"/>
    </row>
    <row r="696" spans="5:7" ht="18" customHeight="1">
      <c r="E696" s="14"/>
      <c r="G696" s="14"/>
    </row>
    <row r="697" spans="5:7" ht="18" customHeight="1">
      <c r="E697" s="14"/>
      <c r="G697" s="14"/>
    </row>
    <row r="698" spans="5:7" ht="18" customHeight="1">
      <c r="E698" s="14"/>
      <c r="G698" s="14"/>
    </row>
    <row r="699" spans="5:7" ht="18" customHeight="1">
      <c r="E699" s="14"/>
      <c r="G699" s="14"/>
    </row>
    <row r="700" spans="5:7" ht="18" customHeight="1">
      <c r="E700" s="14"/>
      <c r="G700" s="14"/>
    </row>
    <row r="701" spans="5:7" ht="18" customHeight="1">
      <c r="E701" s="14"/>
      <c r="G701" s="14"/>
    </row>
    <row r="702" spans="5:7" ht="18" customHeight="1">
      <c r="E702" s="14"/>
      <c r="G702" s="14"/>
    </row>
    <row r="703" spans="5:7" ht="18" customHeight="1">
      <c r="E703" s="14"/>
      <c r="G703" s="14"/>
    </row>
    <row r="704" spans="5:7" ht="18" customHeight="1">
      <c r="E704" s="14"/>
      <c r="G704" s="14"/>
    </row>
    <row r="705" spans="5:7" ht="18" customHeight="1">
      <c r="E705" s="14"/>
      <c r="G705" s="14"/>
    </row>
    <row r="706" spans="5:7" ht="18" customHeight="1">
      <c r="E706" s="14"/>
      <c r="G706" s="14"/>
    </row>
    <row r="707" spans="5:7" ht="18" customHeight="1">
      <c r="E707" s="14"/>
      <c r="G707" s="14"/>
    </row>
    <row r="708" spans="5:7" ht="18" customHeight="1">
      <c r="E708" s="14"/>
      <c r="G708" s="14"/>
    </row>
    <row r="709" spans="5:7" ht="18" customHeight="1">
      <c r="E709" s="14"/>
      <c r="G709" s="14"/>
    </row>
    <row r="710" spans="5:7" ht="18" customHeight="1">
      <c r="E710" s="14"/>
      <c r="G710" s="14"/>
    </row>
    <row r="711" spans="5:7" ht="18" customHeight="1">
      <c r="E711" s="14"/>
      <c r="G711" s="14"/>
    </row>
    <row r="712" spans="5:7" ht="18" customHeight="1">
      <c r="E712" s="14"/>
      <c r="G712" s="14"/>
    </row>
    <row r="713" spans="5:7" ht="18" customHeight="1">
      <c r="E713" s="14"/>
      <c r="G713" s="14"/>
    </row>
    <row r="714" spans="5:7" ht="18" customHeight="1">
      <c r="E714" s="14"/>
      <c r="G714" s="14"/>
    </row>
    <row r="715" spans="5:7" ht="18" customHeight="1">
      <c r="E715" s="14"/>
      <c r="G715" s="14"/>
    </row>
    <row r="716" spans="5:7" ht="18" customHeight="1">
      <c r="E716" s="14"/>
      <c r="G716" s="14"/>
    </row>
    <row r="717" spans="5:7" ht="18" customHeight="1">
      <c r="E717" s="14"/>
      <c r="G717" s="14"/>
    </row>
    <row r="718" spans="5:7" ht="18" customHeight="1">
      <c r="E718" s="14"/>
      <c r="G718" s="14"/>
    </row>
    <row r="719" spans="5:7" ht="18" customHeight="1">
      <c r="E719" s="14"/>
      <c r="G719" s="14"/>
    </row>
    <row r="720" spans="5:7" ht="18" customHeight="1">
      <c r="E720" s="14"/>
      <c r="G720" s="14"/>
    </row>
    <row r="721" spans="5:7" ht="18" customHeight="1">
      <c r="E721" s="14"/>
      <c r="G721" s="14"/>
    </row>
    <row r="722" spans="5:7" ht="18" customHeight="1">
      <c r="E722" s="14"/>
      <c r="G722" s="14"/>
    </row>
    <row r="723" spans="5:7" ht="18" customHeight="1">
      <c r="E723" s="14"/>
      <c r="G723" s="14"/>
    </row>
    <row r="724" spans="5:7" ht="18" customHeight="1">
      <c r="E724" s="14"/>
      <c r="G724" s="14"/>
    </row>
    <row r="725" spans="5:7" ht="18" customHeight="1">
      <c r="E725" s="14"/>
      <c r="G725" s="14"/>
    </row>
    <row r="726" spans="5:7" ht="18" customHeight="1">
      <c r="E726" s="14"/>
      <c r="G726" s="14"/>
    </row>
    <row r="727" spans="5:7" ht="18" customHeight="1">
      <c r="E727" s="14"/>
      <c r="G727" s="14"/>
    </row>
    <row r="728" spans="5:7" ht="18" customHeight="1">
      <c r="E728" s="14"/>
      <c r="G728" s="14"/>
    </row>
    <row r="729" spans="5:7" ht="18" customHeight="1">
      <c r="E729" s="14"/>
      <c r="G729" s="14"/>
    </row>
    <row r="730" spans="5:7" ht="18" customHeight="1">
      <c r="E730" s="14"/>
      <c r="G730" s="14"/>
    </row>
    <row r="731" spans="5:7" ht="18" customHeight="1">
      <c r="E731" s="14"/>
      <c r="G731" s="14"/>
    </row>
    <row r="732" spans="5:7" ht="18" customHeight="1">
      <c r="E732" s="14"/>
      <c r="G732" s="14"/>
    </row>
    <row r="733" spans="5:7" ht="18" customHeight="1">
      <c r="E733" s="14"/>
      <c r="G733" s="14"/>
    </row>
    <row r="734" spans="5:7" ht="18" customHeight="1">
      <c r="E734" s="14"/>
      <c r="G734" s="14"/>
    </row>
    <row r="735" spans="5:7" ht="18" customHeight="1">
      <c r="E735" s="14"/>
      <c r="G735" s="14"/>
    </row>
    <row r="736" spans="5:7" ht="18" customHeight="1">
      <c r="E736" s="14"/>
      <c r="G736" s="14"/>
    </row>
    <row r="737" spans="5:7" ht="18" customHeight="1">
      <c r="E737" s="14"/>
      <c r="G737" s="14"/>
    </row>
    <row r="738" spans="5:7" ht="18" customHeight="1">
      <c r="E738" s="14"/>
      <c r="G738" s="14"/>
    </row>
    <row r="739" spans="5:7" ht="18" customHeight="1">
      <c r="E739" s="14"/>
      <c r="G739" s="14"/>
    </row>
    <row r="740" spans="5:7" ht="18" customHeight="1">
      <c r="E740" s="14"/>
      <c r="G740" s="14"/>
    </row>
    <row r="741" spans="5:7" ht="18" customHeight="1">
      <c r="E741" s="14"/>
      <c r="G741" s="14"/>
    </row>
    <row r="742" spans="5:7" ht="18" customHeight="1">
      <c r="E742" s="14"/>
      <c r="G742" s="14"/>
    </row>
    <row r="743" spans="5:7" ht="18" customHeight="1">
      <c r="E743" s="14"/>
      <c r="G743" s="14"/>
    </row>
    <row r="744" spans="5:7" ht="18" customHeight="1">
      <c r="E744" s="14"/>
      <c r="G744" s="14"/>
    </row>
    <row r="745" spans="5:7" ht="18" customHeight="1">
      <c r="E745" s="14"/>
      <c r="G745" s="14"/>
    </row>
    <row r="746" spans="5:7" ht="18" customHeight="1">
      <c r="E746" s="14"/>
      <c r="G746" s="14"/>
    </row>
    <row r="747" spans="5:7" ht="18" customHeight="1">
      <c r="E747" s="14"/>
      <c r="G747" s="14"/>
    </row>
    <row r="748" spans="5:7" ht="18" customHeight="1">
      <c r="E748" s="14"/>
      <c r="G748" s="14"/>
    </row>
    <row r="749" spans="5:7" ht="18" customHeight="1">
      <c r="E749" s="14"/>
      <c r="G749" s="14"/>
    </row>
    <row r="750" spans="5:7" ht="18" customHeight="1">
      <c r="E750" s="14"/>
      <c r="G750" s="14"/>
    </row>
    <row r="751" spans="5:7" ht="18" customHeight="1">
      <c r="E751" s="14"/>
      <c r="G751" s="14"/>
    </row>
    <row r="752" spans="5:7" ht="18" customHeight="1">
      <c r="E752" s="14"/>
      <c r="G752" s="14"/>
    </row>
    <row r="753" spans="5:7" ht="18" customHeight="1">
      <c r="E753" s="14"/>
      <c r="G753" s="14"/>
    </row>
    <row r="754" spans="5:7" ht="18" customHeight="1">
      <c r="E754" s="14"/>
      <c r="G754" s="14"/>
    </row>
    <row r="755" spans="5:7" ht="18" customHeight="1">
      <c r="E755" s="14"/>
      <c r="G755" s="14"/>
    </row>
    <row r="756" spans="5:7" ht="18" customHeight="1">
      <c r="E756" s="14"/>
      <c r="G756" s="14"/>
    </row>
    <row r="757" spans="5:7" ht="18" customHeight="1">
      <c r="E757" s="14"/>
      <c r="G757" s="14"/>
    </row>
    <row r="758" spans="5:7" ht="18" customHeight="1">
      <c r="E758" s="14"/>
      <c r="G758" s="14"/>
    </row>
    <row r="759" spans="5:7" ht="18" customHeight="1">
      <c r="E759" s="14"/>
      <c r="G759" s="14"/>
    </row>
    <row r="760" spans="5:7" ht="18" customHeight="1">
      <c r="E760" s="14"/>
      <c r="G760" s="14"/>
    </row>
    <row r="761" spans="5:7" ht="18" customHeight="1">
      <c r="E761" s="14"/>
      <c r="G761" s="14"/>
    </row>
    <row r="762" spans="5:7" ht="18" customHeight="1">
      <c r="E762" s="14"/>
      <c r="G762" s="14"/>
    </row>
    <row r="763" spans="5:7" ht="18" customHeight="1">
      <c r="E763" s="14"/>
      <c r="G763" s="14"/>
    </row>
    <row r="764" spans="5:7" ht="18" customHeight="1">
      <c r="E764" s="14"/>
      <c r="G764" s="14"/>
    </row>
    <row r="765" spans="5:7" ht="18" customHeight="1">
      <c r="E765" s="14"/>
      <c r="G765" s="14"/>
    </row>
    <row r="766" spans="5:7" ht="18" customHeight="1">
      <c r="E766" s="14"/>
      <c r="G766" s="14"/>
    </row>
    <row r="767" spans="5:7" ht="18" customHeight="1">
      <c r="E767" s="14"/>
      <c r="G767" s="14"/>
    </row>
    <row r="768" spans="5:7" ht="18" customHeight="1">
      <c r="E768" s="14"/>
      <c r="G768" s="14"/>
    </row>
    <row r="769" spans="5:7" ht="18" customHeight="1">
      <c r="E769" s="14"/>
      <c r="G769" s="14"/>
    </row>
    <row r="770" spans="5:7" ht="18" customHeight="1">
      <c r="E770" s="14"/>
      <c r="G770" s="14"/>
    </row>
    <row r="771" spans="5:7" ht="18" customHeight="1">
      <c r="E771" s="14"/>
      <c r="G771" s="14"/>
    </row>
    <row r="772" spans="5:7" ht="18" customHeight="1">
      <c r="E772" s="14"/>
      <c r="G772" s="14"/>
    </row>
    <row r="773" spans="5:7" ht="18" customHeight="1">
      <c r="E773" s="14"/>
      <c r="G773" s="14"/>
    </row>
    <row r="774" spans="5:7" ht="18" customHeight="1">
      <c r="E774" s="14"/>
      <c r="G774" s="14"/>
    </row>
    <row r="775" spans="5:7" ht="18" customHeight="1">
      <c r="E775" s="14"/>
      <c r="G775" s="14"/>
    </row>
    <row r="776" spans="5:7" ht="18" customHeight="1">
      <c r="E776" s="14"/>
      <c r="G776" s="14"/>
    </row>
    <row r="777" spans="5:7" ht="18" customHeight="1">
      <c r="E777" s="14"/>
      <c r="G777" s="14"/>
    </row>
    <row r="778" spans="5:7" ht="18" customHeight="1">
      <c r="E778" s="14"/>
      <c r="G778" s="14"/>
    </row>
    <row r="779" spans="5:7" ht="18" customHeight="1">
      <c r="E779" s="14"/>
      <c r="G779" s="14"/>
    </row>
    <row r="780" spans="5:7" ht="18" customHeight="1">
      <c r="E780" s="14"/>
      <c r="G780" s="14"/>
    </row>
    <row r="781" spans="5:7" ht="18" customHeight="1">
      <c r="E781" s="14"/>
      <c r="G781" s="14"/>
    </row>
    <row r="782" spans="5:7" ht="18" customHeight="1">
      <c r="E782" s="14"/>
      <c r="G782" s="14"/>
    </row>
    <row r="783" spans="5:7" ht="18" customHeight="1">
      <c r="E783" s="14"/>
      <c r="G783" s="14"/>
    </row>
    <row r="784" spans="5:7" ht="18" customHeight="1">
      <c r="E784" s="14"/>
      <c r="G784" s="14"/>
    </row>
    <row r="785" spans="5:7" ht="18" customHeight="1">
      <c r="E785" s="14"/>
      <c r="G785" s="14"/>
    </row>
    <row r="786" spans="5:7" ht="18" customHeight="1">
      <c r="E786" s="14"/>
      <c r="G786" s="14"/>
    </row>
    <row r="787" spans="5:7" ht="18" customHeight="1">
      <c r="E787" s="14"/>
      <c r="G787" s="14"/>
    </row>
    <row r="788" spans="5:7" ht="18" customHeight="1">
      <c r="E788" s="14"/>
      <c r="G788" s="14"/>
    </row>
    <row r="789" spans="5:7" ht="18" customHeight="1">
      <c r="E789" s="14"/>
      <c r="G789" s="14"/>
    </row>
    <row r="790" spans="5:7" ht="18" customHeight="1">
      <c r="E790" s="14"/>
      <c r="G790" s="14"/>
    </row>
    <row r="791" spans="5:7" ht="18" customHeight="1">
      <c r="E791" s="14"/>
      <c r="G791" s="14"/>
    </row>
    <row r="792" spans="5:7" ht="18" customHeight="1">
      <c r="E792" s="14"/>
      <c r="G792" s="14"/>
    </row>
    <row r="793" spans="5:7" ht="18" customHeight="1">
      <c r="E793" s="14"/>
      <c r="G793" s="14"/>
    </row>
    <row r="794" spans="5:7" ht="18" customHeight="1">
      <c r="E794" s="14"/>
      <c r="G794" s="14"/>
    </row>
    <row r="795" spans="5:7" ht="18" customHeight="1">
      <c r="E795" s="14"/>
      <c r="G795" s="14"/>
    </row>
    <row r="796" spans="5:7" ht="18" customHeight="1">
      <c r="E796" s="14"/>
      <c r="G796" s="14"/>
    </row>
    <row r="797" spans="5:7" ht="18" customHeight="1">
      <c r="E797" s="14"/>
      <c r="G797" s="14"/>
    </row>
    <row r="798" spans="5:7" ht="18" customHeight="1">
      <c r="E798" s="14"/>
      <c r="G798" s="14"/>
    </row>
    <row r="799" spans="5:7" ht="18" customHeight="1">
      <c r="E799" s="14"/>
      <c r="G799" s="14"/>
    </row>
    <row r="800" spans="5:7" ht="18" customHeight="1">
      <c r="E800" s="14"/>
      <c r="G800" s="14"/>
    </row>
    <row r="801" spans="5:7" ht="18" customHeight="1">
      <c r="E801" s="14"/>
      <c r="G801" s="14"/>
    </row>
    <row r="802" spans="5:7" ht="18" customHeight="1">
      <c r="E802" s="14"/>
      <c r="G802" s="14"/>
    </row>
    <row r="803" spans="5:7" ht="18" customHeight="1">
      <c r="E803" s="14"/>
      <c r="G803" s="14"/>
    </row>
    <row r="804" spans="5:7" ht="18" customHeight="1">
      <c r="E804" s="14"/>
      <c r="G804" s="14"/>
    </row>
    <row r="805" spans="5:7" ht="18" customHeight="1">
      <c r="E805" s="14"/>
      <c r="G805" s="14"/>
    </row>
    <row r="806" spans="5:7" ht="18" customHeight="1">
      <c r="E806" s="14"/>
      <c r="G806" s="14"/>
    </row>
    <row r="807" spans="5:7" ht="18" customHeight="1">
      <c r="E807" s="14"/>
      <c r="G807" s="14"/>
    </row>
    <row r="808" spans="5:7" ht="18" customHeight="1">
      <c r="E808" s="14"/>
      <c r="G808" s="14"/>
    </row>
    <row r="809" spans="5:7" ht="18" customHeight="1">
      <c r="E809" s="14"/>
      <c r="G809" s="14"/>
    </row>
    <row r="810" spans="5:7" ht="18" customHeight="1">
      <c r="E810" s="14"/>
      <c r="G810" s="14"/>
    </row>
    <row r="811" spans="5:7" ht="18" customHeight="1">
      <c r="E811" s="14"/>
      <c r="G811" s="14"/>
    </row>
    <row r="812" spans="5:7" ht="18" customHeight="1">
      <c r="E812" s="14"/>
      <c r="G812" s="14"/>
    </row>
    <row r="813" spans="5:7" ht="18" customHeight="1">
      <c r="E813" s="14"/>
      <c r="G813" s="14"/>
    </row>
    <row r="814" spans="5:7" ht="18" customHeight="1">
      <c r="E814" s="14"/>
      <c r="G814" s="14"/>
    </row>
    <row r="815" spans="5:7" ht="18" customHeight="1">
      <c r="E815" s="14"/>
      <c r="G815" s="14"/>
    </row>
    <row r="816" spans="5:7" ht="18" customHeight="1">
      <c r="E816" s="14"/>
      <c r="G816" s="14"/>
    </row>
    <row r="817" spans="5:7" ht="18" customHeight="1">
      <c r="E817" s="14"/>
      <c r="G817" s="14"/>
    </row>
    <row r="818" spans="5:7" ht="18" customHeight="1">
      <c r="E818" s="14"/>
      <c r="G818" s="14"/>
    </row>
    <row r="819" spans="5:7" ht="18" customHeight="1">
      <c r="E819" s="14"/>
      <c r="G819" s="14"/>
    </row>
    <row r="820" spans="5:7" ht="18" customHeight="1">
      <c r="E820" s="14"/>
      <c r="G820" s="14"/>
    </row>
    <row r="821" spans="5:7" ht="18" customHeight="1">
      <c r="E821" s="14"/>
      <c r="G821" s="14"/>
    </row>
    <row r="822" spans="5:7" ht="18" customHeight="1">
      <c r="E822" s="14"/>
      <c r="G822" s="14"/>
    </row>
    <row r="823" spans="5:7" ht="18" customHeight="1">
      <c r="E823" s="14"/>
      <c r="G823" s="14"/>
    </row>
    <row r="824" spans="5:7" ht="18" customHeight="1">
      <c r="E824" s="14"/>
      <c r="G824" s="14"/>
    </row>
    <row r="825" spans="5:7" ht="18" customHeight="1">
      <c r="E825" s="14"/>
      <c r="G825" s="14"/>
    </row>
    <row r="826" spans="5:7" ht="18" customHeight="1">
      <c r="E826" s="14"/>
      <c r="G826" s="14"/>
    </row>
    <row r="827" spans="5:7" ht="18" customHeight="1">
      <c r="E827" s="14"/>
      <c r="G827" s="14"/>
    </row>
    <row r="828" spans="5:7" ht="18" customHeight="1">
      <c r="E828" s="14"/>
      <c r="G828" s="14"/>
    </row>
    <row r="829" spans="5:7" ht="18" customHeight="1">
      <c r="E829" s="14"/>
      <c r="G829" s="14"/>
    </row>
    <row r="830" spans="5:7" ht="18" customHeight="1">
      <c r="E830" s="14"/>
      <c r="G830" s="14"/>
    </row>
    <row r="831" spans="5:7" ht="18" customHeight="1">
      <c r="E831" s="14"/>
      <c r="G831" s="14"/>
    </row>
    <row r="832" spans="5:7" ht="18" customHeight="1">
      <c r="E832" s="14"/>
      <c r="G832" s="14"/>
    </row>
    <row r="833" spans="5:7" ht="18" customHeight="1">
      <c r="E833" s="14"/>
      <c r="G833" s="14"/>
    </row>
    <row r="834" spans="5:7" ht="18" customHeight="1">
      <c r="E834" s="14"/>
      <c r="G834" s="14"/>
    </row>
    <row r="835" spans="5:7" ht="18" customHeight="1">
      <c r="E835" s="14"/>
      <c r="G835" s="14"/>
    </row>
    <row r="836" spans="5:7" ht="18" customHeight="1">
      <c r="E836" s="14"/>
      <c r="G836" s="14"/>
    </row>
    <row r="837" spans="5:7" ht="18" customHeight="1">
      <c r="E837" s="14"/>
      <c r="G837" s="14"/>
    </row>
    <row r="838" spans="5:7" ht="18" customHeight="1">
      <c r="E838" s="14"/>
      <c r="G838" s="14"/>
    </row>
    <row r="839" spans="5:7" ht="18" customHeight="1">
      <c r="E839" s="14"/>
      <c r="G839" s="14"/>
    </row>
    <row r="840" spans="5:7" ht="18" customHeight="1">
      <c r="E840" s="14"/>
      <c r="G840" s="14"/>
    </row>
    <row r="841" spans="5:7" ht="18" customHeight="1">
      <c r="E841" s="14"/>
      <c r="G841" s="14"/>
    </row>
    <row r="842" spans="5:7" ht="18" customHeight="1">
      <c r="E842" s="14"/>
      <c r="G842" s="14"/>
    </row>
    <row r="843" spans="5:7" ht="18" customHeight="1">
      <c r="E843" s="14"/>
      <c r="G843" s="14"/>
    </row>
    <row r="844" spans="5:7" ht="18" customHeight="1">
      <c r="E844" s="14"/>
      <c r="G844" s="14"/>
    </row>
    <row r="845" spans="5:7" ht="18" customHeight="1">
      <c r="E845" s="14"/>
      <c r="G845" s="14"/>
    </row>
    <row r="846" spans="5:7" ht="18" customHeight="1">
      <c r="E846" s="14"/>
      <c r="G846" s="14"/>
    </row>
    <row r="847" spans="5:7" ht="18" customHeight="1">
      <c r="E847" s="14"/>
      <c r="G847" s="14"/>
    </row>
    <row r="848" spans="5:7" ht="18" customHeight="1">
      <c r="E848" s="14"/>
      <c r="G848" s="14"/>
    </row>
    <row r="849" spans="5:7" ht="18" customHeight="1">
      <c r="E849" s="14"/>
      <c r="G849" s="14"/>
    </row>
    <row r="850" spans="5:7" ht="18" customHeight="1">
      <c r="E850" s="14"/>
      <c r="G850" s="14"/>
    </row>
    <row r="851" spans="5:7" ht="18" customHeight="1">
      <c r="E851" s="14"/>
      <c r="G851" s="14"/>
    </row>
    <row r="852" spans="5:7" ht="18" customHeight="1">
      <c r="E852" s="14"/>
      <c r="G852" s="14"/>
    </row>
    <row r="853" spans="5:7" ht="18" customHeight="1">
      <c r="E853" s="14"/>
      <c r="G853" s="14"/>
    </row>
    <row r="854" spans="5:7" ht="18" customHeight="1">
      <c r="E854" s="14"/>
      <c r="G854" s="14"/>
    </row>
    <row r="855" spans="5:7" ht="18" customHeight="1">
      <c r="E855" s="14"/>
      <c r="G855" s="14"/>
    </row>
    <row r="856" spans="5:7" ht="18" customHeight="1">
      <c r="E856" s="14"/>
      <c r="G856" s="14"/>
    </row>
    <row r="857" spans="5:7" ht="18" customHeight="1">
      <c r="E857" s="14"/>
      <c r="G857" s="14"/>
    </row>
    <row r="858" spans="5:7" ht="18" customHeight="1">
      <c r="E858" s="14"/>
      <c r="G858" s="14"/>
    </row>
    <row r="859" spans="5:7" ht="18" customHeight="1">
      <c r="E859" s="14"/>
      <c r="G859" s="14"/>
    </row>
    <row r="860" spans="5:7" ht="18" customHeight="1">
      <c r="E860" s="14"/>
      <c r="G860" s="14"/>
    </row>
    <row r="861" spans="5:7" ht="18" customHeight="1">
      <c r="E861" s="14"/>
      <c r="G861" s="14"/>
    </row>
    <row r="862" spans="5:7" ht="18" customHeight="1">
      <c r="E862" s="14"/>
      <c r="G862" s="14"/>
    </row>
    <row r="863" spans="5:7" ht="18" customHeight="1">
      <c r="E863" s="14"/>
      <c r="G863" s="14"/>
    </row>
    <row r="864" spans="5:7" ht="18" customHeight="1">
      <c r="E864" s="14"/>
      <c r="G864" s="14"/>
    </row>
    <row r="865" spans="5:7" ht="18" customHeight="1">
      <c r="E865" s="14"/>
      <c r="G865" s="14"/>
    </row>
    <row r="866" spans="5:7" ht="18" customHeight="1">
      <c r="E866" s="14"/>
      <c r="G866" s="14"/>
    </row>
    <row r="867" spans="5:7" ht="18" customHeight="1">
      <c r="E867" s="14"/>
      <c r="G867" s="14"/>
    </row>
    <row r="868" spans="5:7" ht="18" customHeight="1">
      <c r="E868" s="14"/>
      <c r="G868" s="14"/>
    </row>
    <row r="869" spans="5:7" ht="18" customHeight="1">
      <c r="E869" s="14"/>
      <c r="G869" s="14"/>
    </row>
    <row r="870" spans="5:7" ht="18" customHeight="1">
      <c r="E870" s="14"/>
      <c r="G870" s="14"/>
    </row>
    <row r="871" spans="5:7" ht="18" customHeight="1">
      <c r="E871" s="14"/>
      <c r="G871" s="14"/>
    </row>
    <row r="872" spans="5:7" ht="18" customHeight="1">
      <c r="E872" s="14"/>
      <c r="G872" s="14"/>
    </row>
    <row r="873" spans="5:7" ht="18" customHeight="1">
      <c r="E873" s="14"/>
      <c r="G873" s="14"/>
    </row>
    <row r="874" spans="5:7" ht="18" customHeight="1">
      <c r="E874" s="14"/>
      <c r="G874" s="14"/>
    </row>
    <row r="875" spans="5:7" ht="18" customHeight="1">
      <c r="E875" s="14"/>
      <c r="G875" s="14"/>
    </row>
    <row r="876" spans="5:7" ht="18" customHeight="1">
      <c r="E876" s="14"/>
      <c r="G876" s="14"/>
    </row>
    <row r="877" spans="5:7" ht="18" customHeight="1">
      <c r="E877" s="14"/>
      <c r="G877" s="14"/>
    </row>
    <row r="878" spans="5:7" ht="18" customHeight="1">
      <c r="E878" s="14"/>
      <c r="G878" s="14"/>
    </row>
    <row r="879" spans="5:7" ht="18" customHeight="1">
      <c r="E879" s="14"/>
      <c r="G879" s="14"/>
    </row>
    <row r="880" spans="5:7" ht="18" customHeight="1">
      <c r="E880" s="14"/>
      <c r="G880" s="14"/>
    </row>
    <row r="881" spans="5:7" ht="18" customHeight="1">
      <c r="E881" s="14"/>
      <c r="G881" s="14"/>
    </row>
    <row r="882" spans="5:7" ht="18" customHeight="1">
      <c r="E882" s="14"/>
      <c r="G882" s="14"/>
    </row>
    <row r="883" spans="5:7" ht="18" customHeight="1">
      <c r="E883" s="14"/>
      <c r="G883" s="14"/>
    </row>
    <row r="884" spans="5:7" ht="18" customHeight="1">
      <c r="E884" s="14"/>
      <c r="G884" s="14"/>
    </row>
    <row r="885" spans="5:7" ht="18" customHeight="1">
      <c r="E885" s="14"/>
      <c r="G885" s="14"/>
    </row>
    <row r="886" spans="5:7" ht="18" customHeight="1">
      <c r="E886" s="14"/>
      <c r="G886" s="14"/>
    </row>
    <row r="887" spans="5:7" ht="18" customHeight="1">
      <c r="E887" s="14"/>
      <c r="G887" s="14"/>
    </row>
    <row r="888" spans="5:7" ht="18" customHeight="1">
      <c r="E888" s="14"/>
      <c r="G888" s="14"/>
    </row>
    <row r="889" spans="5:7" ht="18" customHeight="1">
      <c r="E889" s="14"/>
      <c r="G889" s="14"/>
    </row>
    <row r="890" spans="5:7" ht="18" customHeight="1">
      <c r="E890" s="14"/>
      <c r="G890" s="14"/>
    </row>
    <row r="891" spans="5:7" ht="18" customHeight="1">
      <c r="E891" s="14"/>
      <c r="G891" s="14"/>
    </row>
    <row r="892" spans="5:7" ht="18" customHeight="1">
      <c r="E892" s="14"/>
      <c r="G892" s="14"/>
    </row>
    <row r="893" spans="5:7" ht="18" customHeight="1">
      <c r="E893" s="14"/>
      <c r="G893" s="14"/>
    </row>
    <row r="894" spans="5:7" ht="18" customHeight="1">
      <c r="E894" s="14"/>
      <c r="G894" s="14"/>
    </row>
    <row r="895" spans="5:7" ht="18" customHeight="1">
      <c r="E895" s="14"/>
      <c r="G895" s="14"/>
    </row>
    <row r="896" spans="5:7" ht="18" customHeight="1">
      <c r="E896" s="14"/>
      <c r="G896" s="14"/>
    </row>
    <row r="897" spans="5:7" ht="18" customHeight="1">
      <c r="E897" s="14"/>
      <c r="G897" s="14"/>
    </row>
    <row r="898" spans="5:7" ht="18" customHeight="1">
      <c r="E898" s="14"/>
      <c r="G898" s="14"/>
    </row>
    <row r="899" spans="5:7" ht="18" customHeight="1">
      <c r="E899" s="14"/>
      <c r="G899" s="14"/>
    </row>
    <row r="900" spans="5:7" ht="18" customHeight="1">
      <c r="E900" s="14"/>
      <c r="G900" s="14"/>
    </row>
    <row r="901" spans="5:7" ht="18" customHeight="1">
      <c r="E901" s="14"/>
      <c r="G901" s="14"/>
    </row>
    <row r="902" spans="5:7" ht="18" customHeight="1">
      <c r="E902" s="14"/>
      <c r="G902" s="14"/>
    </row>
    <row r="903" spans="5:7" ht="18" customHeight="1">
      <c r="E903" s="14"/>
      <c r="G903" s="14"/>
    </row>
    <row r="904" spans="5:7" ht="18" customHeight="1">
      <c r="E904" s="14"/>
      <c r="G904" s="14"/>
    </row>
    <row r="905" spans="5:7" ht="18" customHeight="1">
      <c r="E905" s="14"/>
      <c r="G905" s="14"/>
    </row>
    <row r="906" spans="5:7" ht="18" customHeight="1">
      <c r="E906" s="14"/>
      <c r="G906" s="14"/>
    </row>
    <row r="907" spans="5:7" ht="18" customHeight="1">
      <c r="E907" s="14"/>
      <c r="G907" s="14"/>
    </row>
    <row r="908" spans="5:7" ht="18" customHeight="1">
      <c r="E908" s="14"/>
      <c r="G908" s="14"/>
    </row>
    <row r="909" spans="5:7" ht="18" customHeight="1">
      <c r="E909" s="14"/>
      <c r="G909" s="14"/>
    </row>
    <row r="910" spans="5:7" ht="18" customHeight="1">
      <c r="E910" s="14"/>
      <c r="G910" s="14"/>
    </row>
    <row r="911" spans="5:7" ht="18" customHeight="1">
      <c r="E911" s="14"/>
      <c r="G911" s="14"/>
    </row>
    <row r="912" spans="5:7" ht="18" customHeight="1">
      <c r="E912" s="14"/>
      <c r="G912" s="14"/>
    </row>
    <row r="913" spans="5:7" ht="18" customHeight="1">
      <c r="E913" s="14"/>
      <c r="G913" s="14"/>
    </row>
    <row r="914" spans="5:7" ht="18" customHeight="1">
      <c r="E914" s="14"/>
      <c r="G914" s="14"/>
    </row>
    <row r="915" spans="5:7" ht="18" customHeight="1">
      <c r="E915" s="14"/>
      <c r="G915" s="14"/>
    </row>
    <row r="916" spans="5:7" ht="18" customHeight="1">
      <c r="E916" s="14"/>
      <c r="G916" s="14"/>
    </row>
    <row r="917" spans="5:7" ht="18" customHeight="1">
      <c r="E917" s="14"/>
      <c r="G917" s="14"/>
    </row>
    <row r="918" spans="5:7" ht="18" customHeight="1">
      <c r="E918" s="14"/>
      <c r="G918" s="14"/>
    </row>
    <row r="919" spans="5:7" ht="18" customHeight="1">
      <c r="E919" s="14"/>
      <c r="G919" s="14"/>
    </row>
    <row r="920" spans="5:7" ht="18" customHeight="1">
      <c r="E920" s="14"/>
      <c r="G920" s="14"/>
    </row>
    <row r="921" spans="5:7" ht="18" customHeight="1">
      <c r="E921" s="14"/>
      <c r="G921" s="14"/>
    </row>
    <row r="922" spans="5:7" ht="18" customHeight="1">
      <c r="E922" s="14"/>
      <c r="G922" s="14"/>
    </row>
    <row r="923" spans="5:7" ht="18" customHeight="1">
      <c r="E923" s="14"/>
      <c r="G923" s="14"/>
    </row>
    <row r="924" spans="5:7" ht="18" customHeight="1">
      <c r="E924" s="14"/>
      <c r="G924" s="14"/>
    </row>
    <row r="925" spans="5:7" ht="18" customHeight="1">
      <c r="E925" s="14"/>
      <c r="G925" s="14"/>
    </row>
    <row r="926" spans="5:7" ht="18" customHeight="1">
      <c r="E926" s="14"/>
      <c r="G926" s="14"/>
    </row>
    <row r="927" spans="5:7" ht="18" customHeight="1">
      <c r="E927" s="14"/>
      <c r="G927" s="14"/>
    </row>
    <row r="928" spans="5:7" ht="18" customHeight="1">
      <c r="E928" s="14"/>
      <c r="G928" s="14"/>
    </row>
    <row r="929" spans="5:7" ht="18" customHeight="1">
      <c r="E929" s="14"/>
      <c r="G929" s="14"/>
    </row>
    <row r="930" spans="5:7" ht="18" customHeight="1">
      <c r="E930" s="14"/>
      <c r="G930" s="14"/>
    </row>
    <row r="931" spans="5:7" ht="18" customHeight="1">
      <c r="E931" s="14"/>
      <c r="G931" s="14"/>
    </row>
    <row r="932" spans="5:7" ht="18" customHeight="1">
      <c r="E932" s="14"/>
      <c r="G932" s="14"/>
    </row>
    <row r="933" spans="5:7" ht="18" customHeight="1">
      <c r="E933" s="14"/>
      <c r="G933" s="14"/>
    </row>
    <row r="934" spans="5:7" ht="18" customHeight="1">
      <c r="E934" s="14"/>
      <c r="G934" s="14"/>
    </row>
    <row r="935" spans="5:7" ht="18" customHeight="1">
      <c r="E935" s="14"/>
      <c r="G935" s="14"/>
    </row>
    <row r="936" spans="5:7" ht="18" customHeight="1">
      <c r="E936" s="14"/>
      <c r="G936" s="14"/>
    </row>
    <row r="937" spans="5:7" ht="18" customHeight="1">
      <c r="E937" s="14"/>
      <c r="G937" s="14"/>
    </row>
    <row r="938" spans="5:7" ht="18" customHeight="1">
      <c r="E938" s="14"/>
      <c r="G938" s="14"/>
    </row>
    <row r="939" spans="5:7" ht="18" customHeight="1">
      <c r="E939" s="14"/>
      <c r="G939" s="14"/>
    </row>
    <row r="940" spans="5:7" ht="18" customHeight="1">
      <c r="E940" s="14"/>
      <c r="G940" s="14"/>
    </row>
    <row r="941" spans="5:7" ht="18" customHeight="1">
      <c r="E941" s="14"/>
      <c r="G941" s="14"/>
    </row>
    <row r="942" spans="5:7" ht="18" customHeight="1">
      <c r="E942" s="14"/>
      <c r="G942" s="14"/>
    </row>
    <row r="943" spans="5:7" ht="18" customHeight="1">
      <c r="E943" s="14"/>
      <c r="G943" s="14"/>
    </row>
    <row r="944" spans="5:7" ht="18" customHeight="1">
      <c r="E944" s="14"/>
      <c r="G944" s="14"/>
    </row>
    <row r="945" spans="5:7" ht="18" customHeight="1">
      <c r="E945" s="14"/>
      <c r="G945" s="14"/>
    </row>
    <row r="946" spans="5:7" ht="18" customHeight="1">
      <c r="E946" s="14"/>
      <c r="G946" s="14"/>
    </row>
    <row r="947" spans="5:7" ht="18" customHeight="1">
      <c r="E947" s="14"/>
      <c r="G947" s="14"/>
    </row>
    <row r="948" spans="5:7" ht="18" customHeight="1">
      <c r="E948" s="14"/>
      <c r="G948" s="14"/>
    </row>
    <row r="949" spans="5:7" ht="18" customHeight="1">
      <c r="E949" s="14"/>
      <c r="G949" s="14"/>
    </row>
    <row r="950" spans="5:7" ht="18" customHeight="1">
      <c r="E950" s="14"/>
      <c r="G950" s="14"/>
    </row>
    <row r="951" spans="5:7" ht="18" customHeight="1">
      <c r="E951" s="14"/>
      <c r="G951" s="14"/>
    </row>
    <row r="952" spans="5:7" ht="18" customHeight="1">
      <c r="E952" s="14"/>
      <c r="G952" s="14"/>
    </row>
    <row r="953" spans="5:7" ht="18" customHeight="1">
      <c r="E953" s="14"/>
      <c r="G953" s="14"/>
    </row>
    <row r="954" spans="5:7" ht="18" customHeight="1">
      <c r="E954" s="14"/>
      <c r="G954" s="14"/>
    </row>
    <row r="955" spans="5:7" ht="18" customHeight="1">
      <c r="E955" s="14"/>
      <c r="G955" s="14"/>
    </row>
    <row r="956" spans="5:7" ht="18" customHeight="1">
      <c r="E956" s="14"/>
      <c r="G956" s="14"/>
    </row>
    <row r="957" spans="5:7" ht="18" customHeight="1">
      <c r="E957" s="14"/>
      <c r="G957" s="14"/>
    </row>
    <row r="958" spans="5:7" ht="18" customHeight="1">
      <c r="E958" s="14"/>
      <c r="G958" s="14"/>
    </row>
    <row r="959" spans="5:7" ht="18" customHeight="1">
      <c r="E959" s="14"/>
      <c r="G959" s="14"/>
    </row>
    <row r="960" spans="5:7" ht="18" customHeight="1">
      <c r="E960" s="14"/>
      <c r="G960" s="14"/>
    </row>
    <row r="961" spans="5:7" ht="18" customHeight="1">
      <c r="E961" s="14"/>
      <c r="G961" s="14"/>
    </row>
    <row r="962" spans="5:7" ht="18" customHeight="1">
      <c r="E962" s="14"/>
      <c r="G962" s="14"/>
    </row>
    <row r="963" spans="5:7" ht="18" customHeight="1">
      <c r="E963" s="14"/>
      <c r="G963" s="14"/>
    </row>
    <row r="964" spans="5:7" ht="18" customHeight="1">
      <c r="E964" s="14"/>
      <c r="G964" s="14"/>
    </row>
    <row r="965" spans="5:7" ht="18" customHeight="1">
      <c r="E965" s="14"/>
      <c r="G965" s="14"/>
    </row>
    <row r="966" spans="5:7" ht="18" customHeight="1">
      <c r="E966" s="14"/>
      <c r="G966" s="14"/>
    </row>
    <row r="967" spans="5:7" ht="18" customHeight="1">
      <c r="E967" s="14"/>
      <c r="G967" s="14"/>
    </row>
    <row r="968" spans="5:7" ht="18" customHeight="1">
      <c r="E968" s="14"/>
      <c r="G968" s="14"/>
    </row>
    <row r="969" spans="5:7" ht="18" customHeight="1">
      <c r="E969" s="14"/>
      <c r="G969" s="14"/>
    </row>
    <row r="970" spans="5:7" ht="18" customHeight="1">
      <c r="E970" s="14"/>
      <c r="G970" s="14"/>
    </row>
    <row r="971" spans="5:7" ht="18" customHeight="1">
      <c r="E971" s="14"/>
      <c r="G971" s="14"/>
    </row>
    <row r="972" spans="5:7" ht="18" customHeight="1">
      <c r="E972" s="14"/>
      <c r="G972" s="14"/>
    </row>
    <row r="973" spans="5:7" ht="18" customHeight="1">
      <c r="E973" s="14"/>
      <c r="G973" s="14"/>
    </row>
    <row r="974" spans="5:7" ht="18" customHeight="1">
      <c r="E974" s="14"/>
      <c r="G974" s="14"/>
    </row>
    <row r="975" spans="5:7" ht="18" customHeight="1">
      <c r="E975" s="14"/>
      <c r="G975" s="14"/>
    </row>
    <row r="976" spans="5:7" ht="18" customHeight="1">
      <c r="E976" s="14"/>
      <c r="G976" s="14"/>
    </row>
    <row r="977" spans="5:7" ht="18" customHeight="1">
      <c r="E977" s="14"/>
      <c r="G977" s="14"/>
    </row>
    <row r="978" spans="5:7" ht="18" customHeight="1">
      <c r="E978" s="14"/>
      <c r="G978" s="14"/>
    </row>
    <row r="979" spans="5:7" ht="18" customHeight="1">
      <c r="E979" s="14"/>
      <c r="G979" s="14"/>
    </row>
    <row r="980" spans="5:7" ht="18" customHeight="1">
      <c r="E980" s="14"/>
      <c r="G980" s="14"/>
    </row>
    <row r="981" spans="5:7" ht="18" customHeight="1">
      <c r="E981" s="14"/>
      <c r="G981" s="14"/>
    </row>
    <row r="982" spans="5:7" ht="18" customHeight="1">
      <c r="E982" s="14"/>
      <c r="G982" s="14"/>
    </row>
    <row r="983" spans="5:7" ht="18" customHeight="1">
      <c r="E983" s="14"/>
      <c r="G983" s="14"/>
    </row>
    <row r="984" spans="5:7" ht="18" customHeight="1">
      <c r="E984" s="14"/>
      <c r="G984" s="14"/>
    </row>
    <row r="985" spans="5:7" ht="18" customHeight="1">
      <c r="E985" s="14"/>
      <c r="G985" s="14"/>
    </row>
    <row r="986" spans="5:7" ht="18" customHeight="1">
      <c r="E986" s="14"/>
      <c r="G986" s="14"/>
    </row>
    <row r="987" spans="5:7" ht="18" customHeight="1">
      <c r="E987" s="14"/>
      <c r="G987" s="14"/>
    </row>
    <row r="988" spans="5:7" ht="18" customHeight="1">
      <c r="E988" s="14"/>
      <c r="G988" s="14"/>
    </row>
    <row r="989" spans="5:7" ht="18" customHeight="1">
      <c r="E989" s="14"/>
      <c r="G989" s="14"/>
    </row>
    <row r="990" spans="5:7" ht="18" customHeight="1">
      <c r="E990" s="14"/>
      <c r="G990" s="14"/>
    </row>
    <row r="991" spans="5:7" ht="18" customHeight="1">
      <c r="E991" s="14"/>
      <c r="G991" s="14"/>
    </row>
    <row r="992" spans="5:7" ht="18" customHeight="1">
      <c r="E992" s="14"/>
      <c r="G992" s="14"/>
    </row>
    <row r="993" spans="5:7" ht="18" customHeight="1">
      <c r="E993" s="14"/>
      <c r="G993" s="14"/>
    </row>
    <row r="994" spans="5:7" ht="18" customHeight="1">
      <c r="E994" s="14"/>
      <c r="G994" s="14"/>
    </row>
    <row r="995" spans="5:7" ht="18" customHeight="1">
      <c r="E995" s="14"/>
      <c r="G995" s="14"/>
    </row>
    <row r="996" spans="5:7" ht="18" customHeight="1">
      <c r="E996" s="14"/>
      <c r="G996" s="14"/>
    </row>
    <row r="997" spans="5:7" ht="18" customHeight="1">
      <c r="E997" s="14"/>
      <c r="G997" s="14"/>
    </row>
    <row r="998" spans="5:7" ht="18" customHeight="1">
      <c r="E998" s="14"/>
      <c r="G998" s="14"/>
    </row>
    <row r="999" spans="5:7" ht="18" customHeight="1">
      <c r="E999" s="14"/>
      <c r="G999" s="14"/>
    </row>
    <row r="1000" spans="5:7" ht="18" customHeight="1">
      <c r="E1000" s="14"/>
      <c r="G1000" s="14"/>
    </row>
  </sheetData>
  <phoneticPr fontId="3"/>
  <pageMargins left="0.25" right="0.25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入力規制!$A$10:$A$14</xm:f>
          </x14:formula1>
          <xm:sqref>B3:B52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J1000"/>
  <sheetViews>
    <sheetView workbookViewId="0">
      <selection activeCell="P28" sqref="P28"/>
    </sheetView>
  </sheetViews>
  <sheetFormatPr defaultColWidth="14.453125" defaultRowHeight="15" customHeight="1"/>
  <cols>
    <col min="1" max="1" width="4.81640625" customWidth="1"/>
    <col min="2" max="3" width="16.7265625" customWidth="1"/>
    <col min="4" max="4" width="20.81640625" customWidth="1"/>
    <col min="5" max="7" width="8.7265625" customWidth="1"/>
    <col min="8" max="8" width="20.81640625" customWidth="1"/>
    <col min="9" max="9" width="15" customWidth="1"/>
    <col min="10" max="26" width="8.7265625" customWidth="1"/>
  </cols>
  <sheetData>
    <row r="1" spans="1:10" ht="18" customHeight="1">
      <c r="A1" s="13" t="s">
        <v>80</v>
      </c>
      <c r="E1" s="14"/>
      <c r="G1" s="14"/>
      <c r="I1" s="29"/>
    </row>
    <row r="2" spans="1:10" ht="18" customHeight="1">
      <c r="A2" s="15" t="s">
        <v>2</v>
      </c>
      <c r="B2" s="15" t="s">
        <v>3</v>
      </c>
      <c r="C2" s="15" t="s">
        <v>25</v>
      </c>
      <c r="D2" s="15" t="s">
        <v>26</v>
      </c>
      <c r="E2" s="16" t="s">
        <v>27</v>
      </c>
      <c r="F2" s="15" t="s">
        <v>28</v>
      </c>
      <c r="G2" s="16" t="s">
        <v>29</v>
      </c>
      <c r="H2" s="30" t="s">
        <v>81</v>
      </c>
      <c r="I2" s="31" t="s">
        <v>82</v>
      </c>
      <c r="J2" s="30" t="s">
        <v>83</v>
      </c>
    </row>
    <row r="3" spans="1:10" ht="18" customHeight="1">
      <c r="A3" s="17">
        <v>1</v>
      </c>
      <c r="B3" s="18" t="s">
        <v>16</v>
      </c>
      <c r="C3" s="18" t="s">
        <v>45</v>
      </c>
      <c r="D3" s="18" t="s">
        <v>46</v>
      </c>
      <c r="E3" s="19">
        <v>100000</v>
      </c>
      <c r="F3" s="18">
        <v>1</v>
      </c>
      <c r="G3" s="20">
        <f t="shared" ref="G3:G52" si="0">E3*F3</f>
        <v>100000</v>
      </c>
      <c r="H3" s="18"/>
      <c r="I3" s="32"/>
      <c r="J3" s="18"/>
    </row>
    <row r="4" spans="1:10" ht="18" customHeight="1">
      <c r="A4" s="17">
        <v>2</v>
      </c>
      <c r="B4" s="18" t="s">
        <v>16</v>
      </c>
      <c r="C4" s="18" t="s">
        <v>45</v>
      </c>
      <c r="D4" s="18" t="s">
        <v>47</v>
      </c>
      <c r="E4" s="19">
        <v>28000</v>
      </c>
      <c r="F4" s="18">
        <v>1</v>
      </c>
      <c r="G4" s="20">
        <f t="shared" si="0"/>
        <v>28000</v>
      </c>
      <c r="H4" s="18"/>
      <c r="I4" s="32"/>
      <c r="J4" s="18"/>
    </row>
    <row r="5" spans="1:10" ht="18" customHeight="1">
      <c r="A5" s="17">
        <v>3</v>
      </c>
      <c r="B5" s="18" t="s">
        <v>17</v>
      </c>
      <c r="C5" s="18" t="s">
        <v>48</v>
      </c>
      <c r="D5" s="18" t="s">
        <v>49</v>
      </c>
      <c r="E5" s="19">
        <v>18000</v>
      </c>
      <c r="F5" s="18">
        <v>1</v>
      </c>
      <c r="G5" s="20">
        <f t="shared" si="0"/>
        <v>18000</v>
      </c>
      <c r="H5" s="18"/>
      <c r="I5" s="32"/>
      <c r="J5" s="18"/>
    </row>
    <row r="6" spans="1:10" ht="18" customHeight="1">
      <c r="A6" s="17">
        <v>4</v>
      </c>
      <c r="B6" s="18" t="s">
        <v>17</v>
      </c>
      <c r="C6" s="18" t="s">
        <v>50</v>
      </c>
      <c r="D6" s="18" t="s">
        <v>51</v>
      </c>
      <c r="E6" s="19">
        <v>11000</v>
      </c>
      <c r="F6" s="18">
        <v>3</v>
      </c>
      <c r="G6" s="20">
        <f t="shared" si="0"/>
        <v>33000</v>
      </c>
      <c r="H6" s="18"/>
      <c r="I6" s="32"/>
      <c r="J6" s="18"/>
    </row>
    <row r="7" spans="1:10" ht="18" customHeight="1">
      <c r="A7" s="17">
        <v>5</v>
      </c>
      <c r="B7" s="18" t="s">
        <v>18</v>
      </c>
      <c r="C7" s="18" t="s">
        <v>52</v>
      </c>
      <c r="D7" s="18" t="s">
        <v>53</v>
      </c>
      <c r="E7" s="19">
        <v>44000</v>
      </c>
      <c r="F7" s="18">
        <v>1</v>
      </c>
      <c r="G7" s="20">
        <f t="shared" si="0"/>
        <v>44000</v>
      </c>
      <c r="H7" s="18"/>
      <c r="I7" s="32"/>
      <c r="J7" s="18"/>
    </row>
    <row r="8" spans="1:10" ht="18" customHeight="1">
      <c r="A8" s="17">
        <v>6</v>
      </c>
      <c r="B8" s="18" t="s">
        <v>18</v>
      </c>
      <c r="C8" s="18"/>
      <c r="D8" s="18" t="s">
        <v>53</v>
      </c>
      <c r="E8" s="19">
        <v>33000</v>
      </c>
      <c r="F8" s="18">
        <v>1</v>
      </c>
      <c r="G8" s="20">
        <f t="shared" si="0"/>
        <v>33000</v>
      </c>
      <c r="H8" s="18"/>
      <c r="I8" s="32"/>
      <c r="J8" s="18"/>
    </row>
    <row r="9" spans="1:10" ht="18" customHeight="1">
      <c r="A9" s="17">
        <v>7</v>
      </c>
      <c r="B9" s="18" t="s">
        <v>18</v>
      </c>
      <c r="C9" s="18" t="s">
        <v>54</v>
      </c>
      <c r="D9" s="18" t="s">
        <v>55</v>
      </c>
      <c r="E9" s="19">
        <v>65000</v>
      </c>
      <c r="F9" s="18">
        <v>1</v>
      </c>
      <c r="G9" s="20">
        <f t="shared" si="0"/>
        <v>65000</v>
      </c>
      <c r="H9" s="18"/>
      <c r="I9" s="32"/>
      <c r="J9" s="18"/>
    </row>
    <row r="10" spans="1:10" ht="18" customHeight="1">
      <c r="A10" s="17">
        <v>8</v>
      </c>
      <c r="B10" s="18" t="s">
        <v>18</v>
      </c>
      <c r="C10" s="18"/>
      <c r="D10" s="18" t="s">
        <v>56</v>
      </c>
      <c r="E10" s="19">
        <v>40000</v>
      </c>
      <c r="F10" s="18">
        <v>1</v>
      </c>
      <c r="G10" s="20">
        <f t="shared" si="0"/>
        <v>40000</v>
      </c>
      <c r="H10" s="18"/>
      <c r="I10" s="32"/>
      <c r="J10" s="18"/>
    </row>
    <row r="11" spans="1:10" ht="18" customHeight="1">
      <c r="A11" s="17">
        <v>9</v>
      </c>
      <c r="B11" s="18" t="s">
        <v>18</v>
      </c>
      <c r="C11" s="18"/>
      <c r="D11" s="18" t="s">
        <v>57</v>
      </c>
      <c r="E11" s="19">
        <v>30000</v>
      </c>
      <c r="F11" s="18">
        <v>1</v>
      </c>
      <c r="G11" s="20">
        <f t="shared" si="0"/>
        <v>30000</v>
      </c>
      <c r="H11" s="18"/>
      <c r="I11" s="32"/>
      <c r="J11" s="18"/>
    </row>
    <row r="12" spans="1:10" ht="18" customHeight="1">
      <c r="A12" s="17">
        <v>10</v>
      </c>
      <c r="B12" s="18" t="s">
        <v>18</v>
      </c>
      <c r="C12" s="18" t="s">
        <v>58</v>
      </c>
      <c r="D12" s="18" t="s">
        <v>59</v>
      </c>
      <c r="E12" s="19">
        <v>5000</v>
      </c>
      <c r="F12" s="18">
        <v>1</v>
      </c>
      <c r="G12" s="20">
        <f t="shared" si="0"/>
        <v>5000</v>
      </c>
      <c r="H12" s="18"/>
      <c r="I12" s="32"/>
      <c r="J12" s="18"/>
    </row>
    <row r="13" spans="1:10" ht="18" customHeight="1">
      <c r="A13" s="17">
        <v>11</v>
      </c>
      <c r="B13" s="18" t="s">
        <v>18</v>
      </c>
      <c r="C13" s="18"/>
      <c r="D13" s="18" t="s">
        <v>60</v>
      </c>
      <c r="E13" s="19">
        <v>5000</v>
      </c>
      <c r="F13" s="18">
        <v>1</v>
      </c>
      <c r="G13" s="20">
        <f t="shared" si="0"/>
        <v>5000</v>
      </c>
      <c r="H13" s="18"/>
      <c r="I13" s="32"/>
      <c r="J13" s="18"/>
    </row>
    <row r="14" spans="1:10" ht="18" customHeight="1">
      <c r="A14" s="17">
        <v>12</v>
      </c>
      <c r="B14" s="18" t="s">
        <v>18</v>
      </c>
      <c r="C14" s="18" t="s">
        <v>61</v>
      </c>
      <c r="D14" s="18" t="s">
        <v>62</v>
      </c>
      <c r="E14" s="19">
        <v>25000</v>
      </c>
      <c r="F14" s="18">
        <v>1</v>
      </c>
      <c r="G14" s="20">
        <f t="shared" si="0"/>
        <v>25000</v>
      </c>
      <c r="H14" s="18"/>
      <c r="I14" s="32"/>
      <c r="J14" s="18"/>
    </row>
    <row r="15" spans="1:10" ht="18" customHeight="1">
      <c r="A15" s="17">
        <v>13</v>
      </c>
      <c r="B15" s="18" t="s">
        <v>18</v>
      </c>
      <c r="C15" s="18"/>
      <c r="D15" s="18" t="s">
        <v>63</v>
      </c>
      <c r="E15" s="19">
        <v>15000</v>
      </c>
      <c r="F15" s="18">
        <v>1</v>
      </c>
      <c r="G15" s="20">
        <f t="shared" si="0"/>
        <v>15000</v>
      </c>
      <c r="H15" s="18"/>
      <c r="I15" s="32"/>
      <c r="J15" s="18"/>
    </row>
    <row r="16" spans="1:10" ht="18" customHeight="1">
      <c r="A16" s="17">
        <v>14</v>
      </c>
      <c r="B16" s="18" t="s">
        <v>18</v>
      </c>
      <c r="C16" s="18" t="s">
        <v>64</v>
      </c>
      <c r="D16" s="18" t="s">
        <v>65</v>
      </c>
      <c r="E16" s="19">
        <v>10000</v>
      </c>
      <c r="F16" s="18">
        <v>1</v>
      </c>
      <c r="G16" s="20">
        <f t="shared" si="0"/>
        <v>10000</v>
      </c>
      <c r="H16" s="18"/>
      <c r="I16" s="32"/>
      <c r="J16" s="18"/>
    </row>
    <row r="17" spans="1:10" ht="18" customHeight="1">
      <c r="A17" s="17">
        <v>15</v>
      </c>
      <c r="B17" s="18" t="s">
        <v>19</v>
      </c>
      <c r="C17" s="18" t="s">
        <v>66</v>
      </c>
      <c r="D17" s="18" t="s">
        <v>67</v>
      </c>
      <c r="E17" s="19">
        <v>27500</v>
      </c>
      <c r="F17" s="18">
        <v>1</v>
      </c>
      <c r="G17" s="20">
        <f t="shared" si="0"/>
        <v>27500</v>
      </c>
      <c r="H17" s="18"/>
      <c r="I17" s="32"/>
      <c r="J17" s="18"/>
    </row>
    <row r="18" spans="1:10" ht="18" customHeight="1">
      <c r="A18" s="17">
        <v>16</v>
      </c>
      <c r="B18" s="18" t="s">
        <v>19</v>
      </c>
      <c r="C18" s="18"/>
      <c r="D18" s="18" t="s">
        <v>68</v>
      </c>
      <c r="E18" s="19">
        <v>14800</v>
      </c>
      <c r="F18" s="18">
        <v>1</v>
      </c>
      <c r="G18" s="20">
        <f t="shared" si="0"/>
        <v>14800</v>
      </c>
      <c r="H18" s="18"/>
      <c r="I18" s="32"/>
      <c r="J18" s="18"/>
    </row>
    <row r="19" spans="1:10" ht="18" customHeight="1">
      <c r="A19" s="17">
        <v>17</v>
      </c>
      <c r="B19" s="18" t="s">
        <v>19</v>
      </c>
      <c r="C19" s="18" t="s">
        <v>69</v>
      </c>
      <c r="D19" s="18" t="s">
        <v>70</v>
      </c>
      <c r="E19" s="19">
        <v>9900</v>
      </c>
      <c r="F19" s="18">
        <v>1</v>
      </c>
      <c r="G19" s="20">
        <f t="shared" si="0"/>
        <v>9900</v>
      </c>
      <c r="H19" s="18"/>
      <c r="I19" s="32"/>
      <c r="J19" s="18"/>
    </row>
    <row r="20" spans="1:10" ht="18" customHeight="1">
      <c r="A20" s="17">
        <v>18</v>
      </c>
      <c r="B20" s="18" t="s">
        <v>19</v>
      </c>
      <c r="C20" s="18" t="s">
        <v>71</v>
      </c>
      <c r="D20" s="18" t="s">
        <v>72</v>
      </c>
      <c r="E20" s="19">
        <v>29800</v>
      </c>
      <c r="F20" s="18">
        <v>1</v>
      </c>
      <c r="G20" s="20">
        <f t="shared" si="0"/>
        <v>29800</v>
      </c>
      <c r="H20" s="18"/>
      <c r="I20" s="32"/>
      <c r="J20" s="18"/>
    </row>
    <row r="21" spans="1:10" ht="18" customHeight="1">
      <c r="A21" s="17">
        <v>19</v>
      </c>
      <c r="B21" s="18" t="s">
        <v>20</v>
      </c>
      <c r="C21" s="18" t="s">
        <v>73</v>
      </c>
      <c r="D21" s="18" t="s">
        <v>74</v>
      </c>
      <c r="E21" s="19">
        <v>2400</v>
      </c>
      <c r="F21" s="18">
        <v>1</v>
      </c>
      <c r="G21" s="20">
        <f t="shared" si="0"/>
        <v>2400</v>
      </c>
      <c r="H21" s="18"/>
      <c r="I21" s="32"/>
      <c r="J21" s="18"/>
    </row>
    <row r="22" spans="1:10" ht="18" customHeight="1">
      <c r="A22" s="17">
        <v>20</v>
      </c>
      <c r="B22" s="18" t="s">
        <v>20</v>
      </c>
      <c r="C22" s="18" t="s">
        <v>75</v>
      </c>
      <c r="D22" s="18"/>
      <c r="E22" s="19">
        <v>50000</v>
      </c>
      <c r="F22" s="18">
        <v>1</v>
      </c>
      <c r="G22" s="20">
        <f t="shared" si="0"/>
        <v>50000</v>
      </c>
      <c r="H22" s="18"/>
      <c r="I22" s="32"/>
      <c r="J22" s="18"/>
    </row>
    <row r="23" spans="1:10" ht="18" customHeight="1">
      <c r="A23" s="17">
        <v>21</v>
      </c>
      <c r="B23" s="18" t="s">
        <v>21</v>
      </c>
      <c r="C23" s="18" t="s">
        <v>84</v>
      </c>
      <c r="D23" s="18" t="s">
        <v>85</v>
      </c>
      <c r="E23" s="19">
        <v>4000</v>
      </c>
      <c r="F23" s="18">
        <v>1</v>
      </c>
      <c r="G23" s="20">
        <f t="shared" si="0"/>
        <v>4000</v>
      </c>
      <c r="H23" s="18"/>
      <c r="I23" s="32"/>
      <c r="J23" s="18"/>
    </row>
    <row r="24" spans="1:10" ht="18" customHeight="1">
      <c r="A24" s="17">
        <v>22</v>
      </c>
      <c r="B24" s="18"/>
      <c r="C24" s="18"/>
      <c r="D24" s="18"/>
      <c r="E24" s="19"/>
      <c r="F24" s="18"/>
      <c r="G24" s="20">
        <f t="shared" si="0"/>
        <v>0</v>
      </c>
      <c r="H24" s="18"/>
      <c r="I24" s="32"/>
      <c r="J24" s="18"/>
    </row>
    <row r="25" spans="1:10" ht="18" customHeight="1">
      <c r="A25" s="17">
        <v>23</v>
      </c>
      <c r="B25" s="18"/>
      <c r="C25" s="18"/>
      <c r="D25" s="18"/>
      <c r="E25" s="19"/>
      <c r="F25" s="18"/>
      <c r="G25" s="20">
        <f t="shared" si="0"/>
        <v>0</v>
      </c>
      <c r="H25" s="18"/>
      <c r="I25" s="32"/>
      <c r="J25" s="18"/>
    </row>
    <row r="26" spans="1:10" ht="18" customHeight="1">
      <c r="A26" s="17">
        <v>24</v>
      </c>
      <c r="B26" s="18"/>
      <c r="C26" s="18"/>
      <c r="D26" s="18"/>
      <c r="E26" s="19"/>
      <c r="F26" s="18"/>
      <c r="G26" s="20">
        <f t="shared" si="0"/>
        <v>0</v>
      </c>
      <c r="H26" s="18"/>
      <c r="I26" s="32"/>
      <c r="J26" s="18"/>
    </row>
    <row r="27" spans="1:10" ht="18" customHeight="1">
      <c r="A27" s="17">
        <v>25</v>
      </c>
      <c r="B27" s="18"/>
      <c r="C27" s="18"/>
      <c r="D27" s="18"/>
      <c r="E27" s="19"/>
      <c r="F27" s="18"/>
      <c r="G27" s="20">
        <f t="shared" si="0"/>
        <v>0</v>
      </c>
      <c r="H27" s="18"/>
      <c r="I27" s="32"/>
      <c r="J27" s="18"/>
    </row>
    <row r="28" spans="1:10" ht="18" customHeight="1">
      <c r="A28" s="17">
        <v>26</v>
      </c>
      <c r="B28" s="18"/>
      <c r="C28" s="18"/>
      <c r="D28" s="18"/>
      <c r="E28" s="19"/>
      <c r="F28" s="18"/>
      <c r="G28" s="20">
        <f t="shared" si="0"/>
        <v>0</v>
      </c>
      <c r="H28" s="18"/>
      <c r="I28" s="32"/>
      <c r="J28" s="18"/>
    </row>
    <row r="29" spans="1:10" ht="18" customHeight="1">
      <c r="A29" s="17">
        <v>27</v>
      </c>
      <c r="B29" s="18"/>
      <c r="C29" s="18"/>
      <c r="D29" s="18"/>
      <c r="E29" s="19"/>
      <c r="F29" s="18"/>
      <c r="G29" s="20">
        <f t="shared" si="0"/>
        <v>0</v>
      </c>
      <c r="H29" s="18"/>
      <c r="I29" s="32"/>
      <c r="J29" s="18"/>
    </row>
    <row r="30" spans="1:10" ht="18" customHeight="1">
      <c r="A30" s="17">
        <v>28</v>
      </c>
      <c r="B30" s="18"/>
      <c r="C30" s="18"/>
      <c r="D30" s="18"/>
      <c r="E30" s="19"/>
      <c r="F30" s="18"/>
      <c r="G30" s="20">
        <f t="shared" si="0"/>
        <v>0</v>
      </c>
      <c r="H30" s="18"/>
      <c r="I30" s="32"/>
      <c r="J30" s="18"/>
    </row>
    <row r="31" spans="1:10" ht="18" customHeight="1">
      <c r="A31" s="17">
        <v>29</v>
      </c>
      <c r="B31" s="18"/>
      <c r="C31" s="18"/>
      <c r="D31" s="18"/>
      <c r="E31" s="19"/>
      <c r="F31" s="18"/>
      <c r="G31" s="20">
        <f t="shared" si="0"/>
        <v>0</v>
      </c>
      <c r="H31" s="18"/>
      <c r="I31" s="32"/>
      <c r="J31" s="18"/>
    </row>
    <row r="32" spans="1:10" ht="18" customHeight="1">
      <c r="A32" s="17">
        <v>30</v>
      </c>
      <c r="B32" s="18"/>
      <c r="C32" s="18"/>
      <c r="D32" s="18"/>
      <c r="E32" s="19"/>
      <c r="F32" s="18"/>
      <c r="G32" s="20">
        <f t="shared" si="0"/>
        <v>0</v>
      </c>
      <c r="H32" s="18"/>
      <c r="I32" s="32"/>
      <c r="J32" s="18"/>
    </row>
    <row r="33" spans="1:10" ht="18" customHeight="1">
      <c r="A33" s="17">
        <v>31</v>
      </c>
      <c r="B33" s="18"/>
      <c r="C33" s="18"/>
      <c r="D33" s="18"/>
      <c r="E33" s="19"/>
      <c r="F33" s="18"/>
      <c r="G33" s="20">
        <f t="shared" si="0"/>
        <v>0</v>
      </c>
      <c r="H33" s="18"/>
      <c r="I33" s="32"/>
      <c r="J33" s="18"/>
    </row>
    <row r="34" spans="1:10" ht="18" customHeight="1">
      <c r="A34" s="17">
        <v>32</v>
      </c>
      <c r="B34" s="18"/>
      <c r="C34" s="18"/>
      <c r="D34" s="18"/>
      <c r="E34" s="19"/>
      <c r="F34" s="18"/>
      <c r="G34" s="20">
        <f t="shared" si="0"/>
        <v>0</v>
      </c>
      <c r="H34" s="18"/>
      <c r="I34" s="32"/>
      <c r="J34" s="18"/>
    </row>
    <row r="35" spans="1:10" ht="18" customHeight="1">
      <c r="A35" s="17">
        <v>33</v>
      </c>
      <c r="B35" s="18"/>
      <c r="C35" s="18"/>
      <c r="D35" s="18"/>
      <c r="E35" s="19"/>
      <c r="F35" s="18"/>
      <c r="G35" s="20">
        <f t="shared" si="0"/>
        <v>0</v>
      </c>
      <c r="H35" s="18"/>
      <c r="I35" s="32"/>
      <c r="J35" s="18"/>
    </row>
    <row r="36" spans="1:10" ht="18" customHeight="1">
      <c r="A36" s="17">
        <v>34</v>
      </c>
      <c r="B36" s="18"/>
      <c r="C36" s="18"/>
      <c r="D36" s="18"/>
      <c r="E36" s="19"/>
      <c r="F36" s="18"/>
      <c r="G36" s="20">
        <f t="shared" si="0"/>
        <v>0</v>
      </c>
      <c r="H36" s="18"/>
      <c r="I36" s="32"/>
      <c r="J36" s="18"/>
    </row>
    <row r="37" spans="1:10" ht="18" customHeight="1">
      <c r="A37" s="17">
        <v>35</v>
      </c>
      <c r="B37" s="18"/>
      <c r="C37" s="18"/>
      <c r="D37" s="18"/>
      <c r="E37" s="19"/>
      <c r="F37" s="18"/>
      <c r="G37" s="20">
        <f t="shared" si="0"/>
        <v>0</v>
      </c>
      <c r="H37" s="18"/>
      <c r="I37" s="32"/>
      <c r="J37" s="18"/>
    </row>
    <row r="38" spans="1:10" ht="18" customHeight="1">
      <c r="A38" s="17">
        <v>36</v>
      </c>
      <c r="B38" s="18"/>
      <c r="C38" s="18"/>
      <c r="D38" s="18"/>
      <c r="E38" s="19"/>
      <c r="F38" s="18"/>
      <c r="G38" s="20">
        <f t="shared" si="0"/>
        <v>0</v>
      </c>
      <c r="H38" s="18"/>
      <c r="I38" s="32"/>
      <c r="J38" s="18"/>
    </row>
    <row r="39" spans="1:10" ht="18" customHeight="1">
      <c r="A39" s="17">
        <v>37</v>
      </c>
      <c r="B39" s="18"/>
      <c r="C39" s="18"/>
      <c r="D39" s="18"/>
      <c r="E39" s="19"/>
      <c r="F39" s="18"/>
      <c r="G39" s="20">
        <f t="shared" si="0"/>
        <v>0</v>
      </c>
      <c r="H39" s="18"/>
      <c r="I39" s="32"/>
      <c r="J39" s="18"/>
    </row>
    <row r="40" spans="1:10" ht="18" customHeight="1">
      <c r="A40" s="17">
        <v>38</v>
      </c>
      <c r="B40" s="18"/>
      <c r="C40" s="18"/>
      <c r="D40" s="18"/>
      <c r="E40" s="19"/>
      <c r="F40" s="18"/>
      <c r="G40" s="20">
        <f t="shared" si="0"/>
        <v>0</v>
      </c>
      <c r="H40" s="18"/>
      <c r="I40" s="32"/>
      <c r="J40" s="18"/>
    </row>
    <row r="41" spans="1:10" ht="18" customHeight="1">
      <c r="A41" s="17">
        <v>39</v>
      </c>
      <c r="B41" s="18"/>
      <c r="C41" s="18"/>
      <c r="D41" s="18"/>
      <c r="E41" s="19"/>
      <c r="F41" s="18"/>
      <c r="G41" s="20">
        <f t="shared" si="0"/>
        <v>0</v>
      </c>
      <c r="H41" s="18"/>
      <c r="I41" s="32"/>
      <c r="J41" s="18"/>
    </row>
    <row r="42" spans="1:10" ht="18" customHeight="1">
      <c r="A42" s="17">
        <v>40</v>
      </c>
      <c r="B42" s="18"/>
      <c r="C42" s="18"/>
      <c r="D42" s="18"/>
      <c r="E42" s="19"/>
      <c r="F42" s="18"/>
      <c r="G42" s="20">
        <f t="shared" si="0"/>
        <v>0</v>
      </c>
      <c r="H42" s="18"/>
      <c r="I42" s="32"/>
      <c r="J42" s="18"/>
    </row>
    <row r="43" spans="1:10" ht="18" customHeight="1">
      <c r="A43" s="17">
        <v>41</v>
      </c>
      <c r="B43" s="18"/>
      <c r="C43" s="18"/>
      <c r="D43" s="18"/>
      <c r="E43" s="19"/>
      <c r="F43" s="18"/>
      <c r="G43" s="20">
        <f t="shared" si="0"/>
        <v>0</v>
      </c>
      <c r="H43" s="18"/>
      <c r="I43" s="32"/>
      <c r="J43" s="18"/>
    </row>
    <row r="44" spans="1:10" ht="18" customHeight="1">
      <c r="A44" s="17">
        <v>42</v>
      </c>
      <c r="B44" s="18"/>
      <c r="C44" s="18"/>
      <c r="D44" s="18"/>
      <c r="E44" s="19"/>
      <c r="F44" s="18"/>
      <c r="G44" s="20">
        <f t="shared" si="0"/>
        <v>0</v>
      </c>
      <c r="H44" s="18"/>
      <c r="I44" s="32"/>
      <c r="J44" s="18"/>
    </row>
    <row r="45" spans="1:10" ht="18" customHeight="1">
      <c r="A45" s="17">
        <v>43</v>
      </c>
      <c r="B45" s="18"/>
      <c r="C45" s="18"/>
      <c r="D45" s="18"/>
      <c r="E45" s="19"/>
      <c r="F45" s="18"/>
      <c r="G45" s="20">
        <f t="shared" si="0"/>
        <v>0</v>
      </c>
      <c r="H45" s="18"/>
      <c r="I45" s="32"/>
      <c r="J45" s="18"/>
    </row>
    <row r="46" spans="1:10" ht="18" customHeight="1">
      <c r="A46" s="17">
        <v>44</v>
      </c>
      <c r="B46" s="18"/>
      <c r="C46" s="18"/>
      <c r="D46" s="18"/>
      <c r="E46" s="19"/>
      <c r="F46" s="18"/>
      <c r="G46" s="20">
        <f t="shared" si="0"/>
        <v>0</v>
      </c>
      <c r="H46" s="18"/>
      <c r="I46" s="32"/>
      <c r="J46" s="18"/>
    </row>
    <row r="47" spans="1:10" ht="18" customHeight="1">
      <c r="A47" s="17">
        <v>45</v>
      </c>
      <c r="B47" s="18"/>
      <c r="C47" s="18"/>
      <c r="D47" s="18"/>
      <c r="E47" s="19"/>
      <c r="F47" s="18"/>
      <c r="G47" s="20">
        <f t="shared" si="0"/>
        <v>0</v>
      </c>
      <c r="H47" s="18"/>
      <c r="I47" s="32"/>
      <c r="J47" s="18"/>
    </row>
    <row r="48" spans="1:10" ht="18" customHeight="1">
      <c r="A48" s="17">
        <v>46</v>
      </c>
      <c r="B48" s="18"/>
      <c r="C48" s="18"/>
      <c r="D48" s="18"/>
      <c r="E48" s="19"/>
      <c r="F48" s="18"/>
      <c r="G48" s="20">
        <f t="shared" si="0"/>
        <v>0</v>
      </c>
      <c r="H48" s="18"/>
      <c r="I48" s="32"/>
      <c r="J48" s="18"/>
    </row>
    <row r="49" spans="1:10" ht="18" customHeight="1">
      <c r="A49" s="17">
        <v>47</v>
      </c>
      <c r="B49" s="18"/>
      <c r="C49" s="18"/>
      <c r="D49" s="18"/>
      <c r="E49" s="19"/>
      <c r="F49" s="18"/>
      <c r="G49" s="20">
        <f t="shared" si="0"/>
        <v>0</v>
      </c>
      <c r="H49" s="18"/>
      <c r="I49" s="32"/>
      <c r="J49" s="18"/>
    </row>
    <row r="50" spans="1:10" ht="18" customHeight="1">
      <c r="A50" s="17">
        <v>48</v>
      </c>
      <c r="B50" s="18"/>
      <c r="C50" s="18"/>
      <c r="D50" s="18"/>
      <c r="E50" s="19"/>
      <c r="F50" s="18"/>
      <c r="G50" s="20">
        <f t="shared" si="0"/>
        <v>0</v>
      </c>
      <c r="H50" s="18"/>
      <c r="I50" s="32"/>
      <c r="J50" s="18"/>
    </row>
    <row r="51" spans="1:10" ht="18" customHeight="1">
      <c r="A51" s="17">
        <v>49</v>
      </c>
      <c r="B51" s="18"/>
      <c r="C51" s="18"/>
      <c r="D51" s="18"/>
      <c r="E51" s="19"/>
      <c r="F51" s="18"/>
      <c r="G51" s="20">
        <f t="shared" si="0"/>
        <v>0</v>
      </c>
      <c r="H51" s="18"/>
      <c r="I51" s="32"/>
      <c r="J51" s="18"/>
    </row>
    <row r="52" spans="1:10" ht="18" customHeight="1">
      <c r="A52" s="17">
        <v>50</v>
      </c>
      <c r="B52" s="18"/>
      <c r="C52" s="18"/>
      <c r="D52" s="18"/>
      <c r="E52" s="19"/>
      <c r="F52" s="18"/>
      <c r="G52" s="20">
        <f t="shared" si="0"/>
        <v>0</v>
      </c>
      <c r="H52" s="18"/>
      <c r="I52" s="32"/>
      <c r="J52" s="18"/>
    </row>
    <row r="53" spans="1:10" ht="18" customHeight="1">
      <c r="E53" s="14"/>
      <c r="G53" s="14"/>
      <c r="I53" s="29"/>
    </row>
    <row r="54" spans="1:10" ht="18" customHeight="1">
      <c r="E54" s="14"/>
      <c r="G54" s="14"/>
      <c r="I54" s="29"/>
    </row>
    <row r="55" spans="1:10" ht="18" customHeight="1">
      <c r="E55" s="14"/>
      <c r="G55" s="14"/>
      <c r="I55" s="29"/>
    </row>
    <row r="56" spans="1:10" ht="18" customHeight="1">
      <c r="E56" s="14"/>
      <c r="G56" s="14"/>
      <c r="I56" s="29"/>
    </row>
    <row r="57" spans="1:10" ht="18" customHeight="1">
      <c r="E57" s="14"/>
      <c r="G57" s="14"/>
      <c r="I57" s="29"/>
    </row>
    <row r="58" spans="1:10" ht="18" customHeight="1">
      <c r="E58" s="14"/>
      <c r="G58" s="14"/>
      <c r="I58" s="29"/>
    </row>
    <row r="59" spans="1:10" ht="18" customHeight="1">
      <c r="E59" s="14"/>
      <c r="G59" s="14"/>
      <c r="I59" s="29"/>
    </row>
    <row r="60" spans="1:10" ht="18" customHeight="1">
      <c r="E60" s="14"/>
      <c r="G60" s="14"/>
      <c r="I60" s="29"/>
    </row>
    <row r="61" spans="1:10" ht="18" customHeight="1">
      <c r="E61" s="14"/>
      <c r="G61" s="14"/>
      <c r="I61" s="29"/>
    </row>
    <row r="62" spans="1:10" ht="18" customHeight="1">
      <c r="E62" s="14"/>
      <c r="G62" s="14"/>
      <c r="I62" s="29"/>
    </row>
    <row r="63" spans="1:10" ht="18" customHeight="1">
      <c r="E63" s="14"/>
      <c r="G63" s="14"/>
      <c r="I63" s="29"/>
    </row>
    <row r="64" spans="1:10" ht="18" customHeight="1">
      <c r="E64" s="14"/>
      <c r="G64" s="14"/>
      <c r="I64" s="29"/>
    </row>
    <row r="65" spans="5:9" ht="18" customHeight="1">
      <c r="E65" s="14"/>
      <c r="G65" s="14"/>
      <c r="I65" s="29"/>
    </row>
    <row r="66" spans="5:9" ht="18" customHeight="1">
      <c r="E66" s="14"/>
      <c r="G66" s="14"/>
      <c r="I66" s="29"/>
    </row>
    <row r="67" spans="5:9" ht="18" customHeight="1">
      <c r="E67" s="14"/>
      <c r="G67" s="14"/>
      <c r="I67" s="29"/>
    </row>
    <row r="68" spans="5:9" ht="18" customHeight="1">
      <c r="E68" s="14"/>
      <c r="G68" s="14"/>
      <c r="I68" s="29"/>
    </row>
    <row r="69" spans="5:9" ht="18" customHeight="1">
      <c r="E69" s="14"/>
      <c r="G69" s="14"/>
      <c r="I69" s="29"/>
    </row>
    <row r="70" spans="5:9" ht="18" customHeight="1">
      <c r="E70" s="14"/>
      <c r="G70" s="14"/>
      <c r="I70" s="29"/>
    </row>
    <row r="71" spans="5:9" ht="18" customHeight="1">
      <c r="E71" s="14"/>
      <c r="G71" s="14"/>
      <c r="I71" s="29"/>
    </row>
    <row r="72" spans="5:9" ht="18" customHeight="1">
      <c r="E72" s="14"/>
      <c r="G72" s="14"/>
      <c r="I72" s="29"/>
    </row>
    <row r="73" spans="5:9" ht="18" customHeight="1">
      <c r="E73" s="14"/>
      <c r="G73" s="14"/>
      <c r="I73" s="29"/>
    </row>
    <row r="74" spans="5:9" ht="18" customHeight="1">
      <c r="E74" s="14"/>
      <c r="G74" s="14"/>
      <c r="I74" s="29"/>
    </row>
    <row r="75" spans="5:9" ht="18" customHeight="1">
      <c r="E75" s="14"/>
      <c r="G75" s="14"/>
      <c r="I75" s="29"/>
    </row>
    <row r="76" spans="5:9" ht="18" customHeight="1">
      <c r="E76" s="14"/>
      <c r="G76" s="14"/>
      <c r="I76" s="29"/>
    </row>
    <row r="77" spans="5:9" ht="18" customHeight="1">
      <c r="E77" s="14"/>
      <c r="G77" s="14"/>
      <c r="I77" s="29"/>
    </row>
    <row r="78" spans="5:9" ht="18" customHeight="1">
      <c r="E78" s="14"/>
      <c r="G78" s="14"/>
      <c r="I78" s="29"/>
    </row>
    <row r="79" spans="5:9" ht="18" customHeight="1">
      <c r="E79" s="14"/>
      <c r="G79" s="14"/>
      <c r="I79" s="29"/>
    </row>
    <row r="80" spans="5:9" ht="18" customHeight="1">
      <c r="E80" s="14"/>
      <c r="G80" s="14"/>
      <c r="I80" s="29"/>
    </row>
    <row r="81" spans="5:9" ht="18" customHeight="1">
      <c r="E81" s="14"/>
      <c r="G81" s="14"/>
      <c r="I81" s="29"/>
    </row>
    <row r="82" spans="5:9" ht="18" customHeight="1">
      <c r="E82" s="14"/>
      <c r="G82" s="14"/>
      <c r="I82" s="29"/>
    </row>
    <row r="83" spans="5:9" ht="18" customHeight="1">
      <c r="E83" s="14"/>
      <c r="G83" s="14"/>
      <c r="I83" s="29"/>
    </row>
    <row r="84" spans="5:9" ht="18" customHeight="1">
      <c r="E84" s="14"/>
      <c r="G84" s="14"/>
      <c r="I84" s="29"/>
    </row>
    <row r="85" spans="5:9" ht="18" customHeight="1">
      <c r="E85" s="14"/>
      <c r="G85" s="14"/>
      <c r="I85" s="29"/>
    </row>
    <row r="86" spans="5:9" ht="18" customHeight="1">
      <c r="E86" s="14"/>
      <c r="G86" s="14"/>
      <c r="I86" s="29"/>
    </row>
    <row r="87" spans="5:9" ht="18" customHeight="1">
      <c r="E87" s="14"/>
      <c r="G87" s="14"/>
      <c r="I87" s="29"/>
    </row>
    <row r="88" spans="5:9" ht="18" customHeight="1">
      <c r="E88" s="14"/>
      <c r="G88" s="14"/>
      <c r="I88" s="29"/>
    </row>
    <row r="89" spans="5:9" ht="18" customHeight="1">
      <c r="E89" s="14"/>
      <c r="G89" s="14"/>
      <c r="I89" s="29"/>
    </row>
    <row r="90" spans="5:9" ht="18" customHeight="1">
      <c r="E90" s="14"/>
      <c r="G90" s="14"/>
      <c r="I90" s="29"/>
    </row>
    <row r="91" spans="5:9" ht="18" customHeight="1">
      <c r="E91" s="14"/>
      <c r="G91" s="14"/>
      <c r="I91" s="29"/>
    </row>
    <row r="92" spans="5:9" ht="18" customHeight="1">
      <c r="E92" s="14"/>
      <c r="G92" s="14"/>
      <c r="I92" s="29"/>
    </row>
    <row r="93" spans="5:9" ht="18" customHeight="1">
      <c r="E93" s="14"/>
      <c r="G93" s="14"/>
      <c r="I93" s="29"/>
    </row>
    <row r="94" spans="5:9" ht="18" customHeight="1">
      <c r="E94" s="14"/>
      <c r="G94" s="14"/>
      <c r="I94" s="29"/>
    </row>
    <row r="95" spans="5:9" ht="18" customHeight="1">
      <c r="E95" s="14"/>
      <c r="G95" s="14"/>
      <c r="I95" s="29"/>
    </row>
    <row r="96" spans="5:9" ht="18" customHeight="1">
      <c r="E96" s="14"/>
      <c r="G96" s="14"/>
      <c r="I96" s="29"/>
    </row>
    <row r="97" spans="5:9" ht="18" customHeight="1">
      <c r="E97" s="14"/>
      <c r="G97" s="14"/>
      <c r="I97" s="29"/>
    </row>
    <row r="98" spans="5:9" ht="18" customHeight="1">
      <c r="E98" s="14"/>
      <c r="G98" s="14"/>
      <c r="I98" s="29"/>
    </row>
    <row r="99" spans="5:9" ht="18" customHeight="1">
      <c r="E99" s="14"/>
      <c r="G99" s="14"/>
      <c r="I99" s="29"/>
    </row>
    <row r="100" spans="5:9" ht="18" customHeight="1">
      <c r="E100" s="14"/>
      <c r="G100" s="14"/>
      <c r="I100" s="29"/>
    </row>
    <row r="101" spans="5:9" ht="18" customHeight="1">
      <c r="E101" s="14"/>
      <c r="G101" s="14"/>
      <c r="I101" s="29"/>
    </row>
    <row r="102" spans="5:9" ht="18" customHeight="1">
      <c r="E102" s="14"/>
      <c r="G102" s="14"/>
      <c r="I102" s="29"/>
    </row>
    <row r="103" spans="5:9" ht="18" customHeight="1">
      <c r="E103" s="14"/>
      <c r="G103" s="14"/>
      <c r="I103" s="29"/>
    </row>
    <row r="104" spans="5:9" ht="18" customHeight="1">
      <c r="E104" s="14"/>
      <c r="G104" s="14"/>
      <c r="I104" s="29"/>
    </row>
    <row r="105" spans="5:9" ht="18" customHeight="1">
      <c r="E105" s="14"/>
      <c r="G105" s="14"/>
      <c r="I105" s="29"/>
    </row>
    <row r="106" spans="5:9" ht="18" customHeight="1">
      <c r="E106" s="14"/>
      <c r="G106" s="14"/>
      <c r="I106" s="29"/>
    </row>
    <row r="107" spans="5:9" ht="18" customHeight="1">
      <c r="E107" s="14"/>
      <c r="G107" s="14"/>
      <c r="I107" s="29"/>
    </row>
    <row r="108" spans="5:9" ht="18" customHeight="1">
      <c r="E108" s="14"/>
      <c r="G108" s="14"/>
      <c r="I108" s="29"/>
    </row>
    <row r="109" spans="5:9" ht="18" customHeight="1">
      <c r="E109" s="14"/>
      <c r="G109" s="14"/>
      <c r="I109" s="29"/>
    </row>
    <row r="110" spans="5:9" ht="18" customHeight="1">
      <c r="E110" s="14"/>
      <c r="G110" s="14"/>
      <c r="I110" s="29"/>
    </row>
    <row r="111" spans="5:9" ht="18" customHeight="1">
      <c r="E111" s="14"/>
      <c r="G111" s="14"/>
      <c r="I111" s="29"/>
    </row>
    <row r="112" spans="5:9" ht="18" customHeight="1">
      <c r="E112" s="14"/>
      <c r="G112" s="14"/>
      <c r="I112" s="29"/>
    </row>
    <row r="113" spans="5:9" ht="18" customHeight="1">
      <c r="E113" s="14"/>
      <c r="G113" s="14"/>
      <c r="I113" s="29"/>
    </row>
    <row r="114" spans="5:9" ht="18" customHeight="1">
      <c r="E114" s="14"/>
      <c r="G114" s="14"/>
      <c r="I114" s="29"/>
    </row>
    <row r="115" spans="5:9" ht="18" customHeight="1">
      <c r="E115" s="14"/>
      <c r="G115" s="14"/>
      <c r="I115" s="29"/>
    </row>
    <row r="116" spans="5:9" ht="18" customHeight="1">
      <c r="E116" s="14"/>
      <c r="G116" s="14"/>
      <c r="I116" s="29"/>
    </row>
    <row r="117" spans="5:9" ht="18" customHeight="1">
      <c r="E117" s="14"/>
      <c r="G117" s="14"/>
      <c r="I117" s="29"/>
    </row>
    <row r="118" spans="5:9" ht="18" customHeight="1">
      <c r="E118" s="14"/>
      <c r="G118" s="14"/>
      <c r="I118" s="29"/>
    </row>
    <row r="119" spans="5:9" ht="18" customHeight="1">
      <c r="E119" s="14"/>
      <c r="G119" s="14"/>
      <c r="I119" s="29"/>
    </row>
    <row r="120" spans="5:9" ht="18" customHeight="1">
      <c r="E120" s="14"/>
      <c r="G120" s="14"/>
      <c r="I120" s="29"/>
    </row>
    <row r="121" spans="5:9" ht="18" customHeight="1">
      <c r="E121" s="14"/>
      <c r="G121" s="14"/>
      <c r="I121" s="29"/>
    </row>
    <row r="122" spans="5:9" ht="18" customHeight="1">
      <c r="E122" s="14"/>
      <c r="G122" s="14"/>
      <c r="I122" s="29"/>
    </row>
    <row r="123" spans="5:9" ht="18" customHeight="1">
      <c r="E123" s="14"/>
      <c r="G123" s="14"/>
      <c r="I123" s="29"/>
    </row>
    <row r="124" spans="5:9" ht="18" customHeight="1">
      <c r="E124" s="14"/>
      <c r="G124" s="14"/>
      <c r="I124" s="29"/>
    </row>
    <row r="125" spans="5:9" ht="18" customHeight="1">
      <c r="E125" s="14"/>
      <c r="G125" s="14"/>
      <c r="I125" s="29"/>
    </row>
    <row r="126" spans="5:9" ht="18" customHeight="1">
      <c r="E126" s="14"/>
      <c r="G126" s="14"/>
      <c r="I126" s="29"/>
    </row>
    <row r="127" spans="5:9" ht="18" customHeight="1">
      <c r="E127" s="14"/>
      <c r="G127" s="14"/>
      <c r="I127" s="29"/>
    </row>
    <row r="128" spans="5:9" ht="18" customHeight="1">
      <c r="E128" s="14"/>
      <c r="G128" s="14"/>
      <c r="I128" s="29"/>
    </row>
    <row r="129" spans="5:9" ht="18" customHeight="1">
      <c r="E129" s="14"/>
      <c r="G129" s="14"/>
      <c r="I129" s="29"/>
    </row>
    <row r="130" spans="5:9" ht="18" customHeight="1">
      <c r="E130" s="14"/>
      <c r="G130" s="14"/>
      <c r="I130" s="29"/>
    </row>
    <row r="131" spans="5:9" ht="18" customHeight="1">
      <c r="E131" s="14"/>
      <c r="G131" s="14"/>
      <c r="I131" s="29"/>
    </row>
    <row r="132" spans="5:9" ht="18" customHeight="1">
      <c r="E132" s="14"/>
      <c r="G132" s="14"/>
      <c r="I132" s="29"/>
    </row>
    <row r="133" spans="5:9" ht="18" customHeight="1">
      <c r="E133" s="14"/>
      <c r="G133" s="14"/>
      <c r="I133" s="29"/>
    </row>
    <row r="134" spans="5:9" ht="18" customHeight="1">
      <c r="E134" s="14"/>
      <c r="G134" s="14"/>
      <c r="I134" s="29"/>
    </row>
    <row r="135" spans="5:9" ht="18" customHeight="1">
      <c r="E135" s="14"/>
      <c r="G135" s="14"/>
      <c r="I135" s="29"/>
    </row>
    <row r="136" spans="5:9" ht="18" customHeight="1">
      <c r="E136" s="14"/>
      <c r="G136" s="14"/>
      <c r="I136" s="29"/>
    </row>
    <row r="137" spans="5:9" ht="18" customHeight="1">
      <c r="E137" s="14"/>
      <c r="G137" s="14"/>
      <c r="I137" s="29"/>
    </row>
    <row r="138" spans="5:9" ht="18" customHeight="1">
      <c r="E138" s="14"/>
      <c r="G138" s="14"/>
      <c r="I138" s="29"/>
    </row>
    <row r="139" spans="5:9" ht="18" customHeight="1">
      <c r="E139" s="14"/>
      <c r="G139" s="14"/>
      <c r="I139" s="29"/>
    </row>
    <row r="140" spans="5:9" ht="18" customHeight="1">
      <c r="E140" s="14"/>
      <c r="G140" s="14"/>
      <c r="I140" s="29"/>
    </row>
    <row r="141" spans="5:9" ht="18" customHeight="1">
      <c r="E141" s="14"/>
      <c r="G141" s="14"/>
      <c r="I141" s="29"/>
    </row>
    <row r="142" spans="5:9" ht="18" customHeight="1">
      <c r="E142" s="14"/>
      <c r="G142" s="14"/>
      <c r="I142" s="29"/>
    </row>
    <row r="143" spans="5:9" ht="18" customHeight="1">
      <c r="E143" s="14"/>
      <c r="G143" s="14"/>
      <c r="I143" s="29"/>
    </row>
    <row r="144" spans="5:9" ht="18" customHeight="1">
      <c r="E144" s="14"/>
      <c r="G144" s="14"/>
      <c r="I144" s="29"/>
    </row>
    <row r="145" spans="5:9" ht="18" customHeight="1">
      <c r="E145" s="14"/>
      <c r="G145" s="14"/>
      <c r="I145" s="29"/>
    </row>
    <row r="146" spans="5:9" ht="18" customHeight="1">
      <c r="E146" s="14"/>
      <c r="G146" s="14"/>
      <c r="I146" s="29"/>
    </row>
    <row r="147" spans="5:9" ht="18" customHeight="1">
      <c r="E147" s="14"/>
      <c r="G147" s="14"/>
      <c r="I147" s="29"/>
    </row>
    <row r="148" spans="5:9" ht="18" customHeight="1">
      <c r="E148" s="14"/>
      <c r="G148" s="14"/>
      <c r="I148" s="29"/>
    </row>
    <row r="149" spans="5:9" ht="18" customHeight="1">
      <c r="E149" s="14"/>
      <c r="G149" s="14"/>
      <c r="I149" s="29"/>
    </row>
    <row r="150" spans="5:9" ht="18" customHeight="1">
      <c r="E150" s="14"/>
      <c r="G150" s="14"/>
      <c r="I150" s="29"/>
    </row>
    <row r="151" spans="5:9" ht="18" customHeight="1">
      <c r="E151" s="14"/>
      <c r="G151" s="14"/>
      <c r="I151" s="29"/>
    </row>
    <row r="152" spans="5:9" ht="18" customHeight="1">
      <c r="E152" s="14"/>
      <c r="G152" s="14"/>
      <c r="I152" s="29"/>
    </row>
    <row r="153" spans="5:9" ht="18" customHeight="1">
      <c r="E153" s="14"/>
      <c r="G153" s="14"/>
      <c r="I153" s="29"/>
    </row>
    <row r="154" spans="5:9" ht="18" customHeight="1">
      <c r="E154" s="14"/>
      <c r="G154" s="14"/>
      <c r="I154" s="29"/>
    </row>
    <row r="155" spans="5:9" ht="18" customHeight="1">
      <c r="E155" s="14"/>
      <c r="G155" s="14"/>
      <c r="I155" s="29"/>
    </row>
    <row r="156" spans="5:9" ht="18" customHeight="1">
      <c r="E156" s="14"/>
      <c r="G156" s="14"/>
      <c r="I156" s="29"/>
    </row>
    <row r="157" spans="5:9" ht="18" customHeight="1">
      <c r="E157" s="14"/>
      <c r="G157" s="14"/>
      <c r="I157" s="29"/>
    </row>
    <row r="158" spans="5:9" ht="18" customHeight="1">
      <c r="E158" s="14"/>
      <c r="G158" s="14"/>
      <c r="I158" s="29"/>
    </row>
    <row r="159" spans="5:9" ht="18" customHeight="1">
      <c r="E159" s="14"/>
      <c r="G159" s="14"/>
      <c r="I159" s="29"/>
    </row>
    <row r="160" spans="5:9" ht="18" customHeight="1">
      <c r="E160" s="14"/>
      <c r="G160" s="14"/>
      <c r="I160" s="29"/>
    </row>
    <row r="161" spans="5:9" ht="18" customHeight="1">
      <c r="E161" s="14"/>
      <c r="G161" s="14"/>
      <c r="I161" s="29"/>
    </row>
    <row r="162" spans="5:9" ht="18" customHeight="1">
      <c r="E162" s="14"/>
      <c r="G162" s="14"/>
      <c r="I162" s="29"/>
    </row>
    <row r="163" spans="5:9" ht="18" customHeight="1">
      <c r="E163" s="14"/>
      <c r="G163" s="14"/>
      <c r="I163" s="29"/>
    </row>
    <row r="164" spans="5:9" ht="18" customHeight="1">
      <c r="E164" s="14"/>
      <c r="G164" s="14"/>
      <c r="I164" s="29"/>
    </row>
    <row r="165" spans="5:9" ht="18" customHeight="1">
      <c r="E165" s="14"/>
      <c r="G165" s="14"/>
      <c r="I165" s="29"/>
    </row>
    <row r="166" spans="5:9" ht="18" customHeight="1">
      <c r="E166" s="14"/>
      <c r="G166" s="14"/>
      <c r="I166" s="29"/>
    </row>
    <row r="167" spans="5:9" ht="18" customHeight="1">
      <c r="E167" s="14"/>
      <c r="G167" s="14"/>
      <c r="I167" s="29"/>
    </row>
    <row r="168" spans="5:9" ht="18" customHeight="1">
      <c r="E168" s="14"/>
      <c r="G168" s="14"/>
      <c r="I168" s="29"/>
    </row>
    <row r="169" spans="5:9" ht="18" customHeight="1">
      <c r="E169" s="14"/>
      <c r="G169" s="14"/>
      <c r="I169" s="29"/>
    </row>
    <row r="170" spans="5:9" ht="18" customHeight="1">
      <c r="E170" s="14"/>
      <c r="G170" s="14"/>
      <c r="I170" s="29"/>
    </row>
    <row r="171" spans="5:9" ht="18" customHeight="1">
      <c r="E171" s="14"/>
      <c r="G171" s="14"/>
      <c r="I171" s="29"/>
    </row>
    <row r="172" spans="5:9" ht="18" customHeight="1">
      <c r="E172" s="14"/>
      <c r="G172" s="14"/>
      <c r="I172" s="29"/>
    </row>
    <row r="173" spans="5:9" ht="18" customHeight="1">
      <c r="E173" s="14"/>
      <c r="G173" s="14"/>
      <c r="I173" s="29"/>
    </row>
    <row r="174" spans="5:9" ht="18" customHeight="1">
      <c r="E174" s="14"/>
      <c r="G174" s="14"/>
      <c r="I174" s="29"/>
    </row>
    <row r="175" spans="5:9" ht="18" customHeight="1">
      <c r="E175" s="14"/>
      <c r="G175" s="14"/>
      <c r="I175" s="29"/>
    </row>
    <row r="176" spans="5:9" ht="18" customHeight="1">
      <c r="E176" s="14"/>
      <c r="G176" s="14"/>
      <c r="I176" s="29"/>
    </row>
    <row r="177" spans="5:9" ht="18" customHeight="1">
      <c r="E177" s="14"/>
      <c r="G177" s="14"/>
      <c r="I177" s="29"/>
    </row>
    <row r="178" spans="5:9" ht="18" customHeight="1">
      <c r="E178" s="14"/>
      <c r="G178" s="14"/>
      <c r="I178" s="29"/>
    </row>
    <row r="179" spans="5:9" ht="18" customHeight="1">
      <c r="E179" s="14"/>
      <c r="G179" s="14"/>
      <c r="I179" s="29"/>
    </row>
    <row r="180" spans="5:9" ht="18" customHeight="1">
      <c r="E180" s="14"/>
      <c r="G180" s="14"/>
      <c r="I180" s="29"/>
    </row>
    <row r="181" spans="5:9" ht="18" customHeight="1">
      <c r="E181" s="14"/>
      <c r="G181" s="14"/>
      <c r="I181" s="29"/>
    </row>
    <row r="182" spans="5:9" ht="18" customHeight="1">
      <c r="E182" s="14"/>
      <c r="G182" s="14"/>
      <c r="I182" s="29"/>
    </row>
    <row r="183" spans="5:9" ht="18" customHeight="1">
      <c r="E183" s="14"/>
      <c r="G183" s="14"/>
      <c r="I183" s="29"/>
    </row>
    <row r="184" spans="5:9" ht="18" customHeight="1">
      <c r="E184" s="14"/>
      <c r="G184" s="14"/>
      <c r="I184" s="29"/>
    </row>
    <row r="185" spans="5:9" ht="18" customHeight="1">
      <c r="E185" s="14"/>
      <c r="G185" s="14"/>
      <c r="I185" s="29"/>
    </row>
    <row r="186" spans="5:9" ht="18" customHeight="1">
      <c r="E186" s="14"/>
      <c r="G186" s="14"/>
      <c r="I186" s="29"/>
    </row>
    <row r="187" spans="5:9" ht="18" customHeight="1">
      <c r="E187" s="14"/>
      <c r="G187" s="14"/>
      <c r="I187" s="29"/>
    </row>
    <row r="188" spans="5:9" ht="18" customHeight="1">
      <c r="E188" s="14"/>
      <c r="G188" s="14"/>
      <c r="I188" s="29"/>
    </row>
    <row r="189" spans="5:9" ht="18" customHeight="1">
      <c r="E189" s="14"/>
      <c r="G189" s="14"/>
      <c r="I189" s="29"/>
    </row>
    <row r="190" spans="5:9" ht="18" customHeight="1">
      <c r="E190" s="14"/>
      <c r="G190" s="14"/>
      <c r="I190" s="29"/>
    </row>
    <row r="191" spans="5:9" ht="18" customHeight="1">
      <c r="E191" s="14"/>
      <c r="G191" s="14"/>
      <c r="I191" s="29"/>
    </row>
    <row r="192" spans="5:9" ht="18" customHeight="1">
      <c r="E192" s="14"/>
      <c r="G192" s="14"/>
      <c r="I192" s="29"/>
    </row>
    <row r="193" spans="5:9" ht="18" customHeight="1">
      <c r="E193" s="14"/>
      <c r="G193" s="14"/>
      <c r="I193" s="29"/>
    </row>
    <row r="194" spans="5:9" ht="18" customHeight="1">
      <c r="E194" s="14"/>
      <c r="G194" s="14"/>
      <c r="I194" s="29"/>
    </row>
    <row r="195" spans="5:9" ht="18" customHeight="1">
      <c r="E195" s="14"/>
      <c r="G195" s="14"/>
      <c r="I195" s="29"/>
    </row>
    <row r="196" spans="5:9" ht="18" customHeight="1">
      <c r="E196" s="14"/>
      <c r="G196" s="14"/>
      <c r="I196" s="29"/>
    </row>
    <row r="197" spans="5:9" ht="18" customHeight="1">
      <c r="E197" s="14"/>
      <c r="G197" s="14"/>
      <c r="I197" s="29"/>
    </row>
    <row r="198" spans="5:9" ht="18" customHeight="1">
      <c r="E198" s="14"/>
      <c r="G198" s="14"/>
      <c r="I198" s="29"/>
    </row>
    <row r="199" spans="5:9" ht="18" customHeight="1">
      <c r="E199" s="14"/>
      <c r="G199" s="14"/>
      <c r="I199" s="29"/>
    </row>
    <row r="200" spans="5:9" ht="18" customHeight="1">
      <c r="E200" s="14"/>
      <c r="G200" s="14"/>
      <c r="I200" s="29"/>
    </row>
    <row r="201" spans="5:9" ht="18" customHeight="1">
      <c r="E201" s="14"/>
      <c r="G201" s="14"/>
      <c r="I201" s="29"/>
    </row>
    <row r="202" spans="5:9" ht="18" customHeight="1">
      <c r="E202" s="14"/>
      <c r="G202" s="14"/>
      <c r="I202" s="29"/>
    </row>
    <row r="203" spans="5:9" ht="18" customHeight="1">
      <c r="E203" s="14"/>
      <c r="G203" s="14"/>
      <c r="I203" s="29"/>
    </row>
    <row r="204" spans="5:9" ht="18" customHeight="1">
      <c r="E204" s="14"/>
      <c r="G204" s="14"/>
      <c r="I204" s="29"/>
    </row>
    <row r="205" spans="5:9" ht="18" customHeight="1">
      <c r="E205" s="14"/>
      <c r="G205" s="14"/>
      <c r="I205" s="29"/>
    </row>
    <row r="206" spans="5:9" ht="18" customHeight="1">
      <c r="E206" s="14"/>
      <c r="G206" s="14"/>
      <c r="I206" s="29"/>
    </row>
    <row r="207" spans="5:9" ht="18" customHeight="1">
      <c r="E207" s="14"/>
      <c r="G207" s="14"/>
      <c r="I207" s="29"/>
    </row>
    <row r="208" spans="5:9" ht="18" customHeight="1">
      <c r="E208" s="14"/>
      <c r="G208" s="14"/>
      <c r="I208" s="29"/>
    </row>
    <row r="209" spans="5:9" ht="18" customHeight="1">
      <c r="E209" s="14"/>
      <c r="G209" s="14"/>
      <c r="I209" s="29"/>
    </row>
    <row r="210" spans="5:9" ht="18" customHeight="1">
      <c r="E210" s="14"/>
      <c r="G210" s="14"/>
      <c r="I210" s="29"/>
    </row>
    <row r="211" spans="5:9" ht="18" customHeight="1">
      <c r="E211" s="14"/>
      <c r="G211" s="14"/>
      <c r="I211" s="29"/>
    </row>
    <row r="212" spans="5:9" ht="18" customHeight="1">
      <c r="E212" s="14"/>
      <c r="G212" s="14"/>
      <c r="I212" s="29"/>
    </row>
    <row r="213" spans="5:9" ht="18" customHeight="1">
      <c r="E213" s="14"/>
      <c r="G213" s="14"/>
      <c r="I213" s="29"/>
    </row>
    <row r="214" spans="5:9" ht="18" customHeight="1">
      <c r="E214" s="14"/>
      <c r="G214" s="14"/>
      <c r="I214" s="29"/>
    </row>
    <row r="215" spans="5:9" ht="18" customHeight="1">
      <c r="E215" s="14"/>
      <c r="G215" s="14"/>
      <c r="I215" s="29"/>
    </row>
    <row r="216" spans="5:9" ht="18" customHeight="1">
      <c r="E216" s="14"/>
      <c r="G216" s="14"/>
      <c r="I216" s="29"/>
    </row>
    <row r="217" spans="5:9" ht="18" customHeight="1">
      <c r="E217" s="14"/>
      <c r="G217" s="14"/>
      <c r="I217" s="29"/>
    </row>
    <row r="218" spans="5:9" ht="18" customHeight="1">
      <c r="E218" s="14"/>
      <c r="G218" s="14"/>
      <c r="I218" s="29"/>
    </row>
    <row r="219" spans="5:9" ht="18" customHeight="1">
      <c r="E219" s="14"/>
      <c r="G219" s="14"/>
      <c r="I219" s="29"/>
    </row>
    <row r="220" spans="5:9" ht="18" customHeight="1">
      <c r="E220" s="14"/>
      <c r="G220" s="14"/>
      <c r="I220" s="29"/>
    </row>
    <row r="221" spans="5:9" ht="18" customHeight="1">
      <c r="E221" s="14"/>
      <c r="G221" s="14"/>
      <c r="I221" s="29"/>
    </row>
    <row r="222" spans="5:9" ht="18" customHeight="1">
      <c r="E222" s="14"/>
      <c r="G222" s="14"/>
      <c r="I222" s="29"/>
    </row>
    <row r="223" spans="5:9" ht="18" customHeight="1">
      <c r="E223" s="14"/>
      <c r="G223" s="14"/>
      <c r="I223" s="29"/>
    </row>
    <row r="224" spans="5:9" ht="18" customHeight="1">
      <c r="E224" s="14"/>
      <c r="G224" s="14"/>
      <c r="I224" s="29"/>
    </row>
    <row r="225" spans="5:9" ht="18" customHeight="1">
      <c r="E225" s="14"/>
      <c r="G225" s="14"/>
      <c r="I225" s="29"/>
    </row>
    <row r="226" spans="5:9" ht="18" customHeight="1">
      <c r="E226" s="14"/>
      <c r="G226" s="14"/>
      <c r="I226" s="29"/>
    </row>
    <row r="227" spans="5:9" ht="18" customHeight="1">
      <c r="E227" s="14"/>
      <c r="G227" s="14"/>
      <c r="I227" s="29"/>
    </row>
    <row r="228" spans="5:9" ht="18" customHeight="1">
      <c r="E228" s="14"/>
      <c r="G228" s="14"/>
      <c r="I228" s="29"/>
    </row>
    <row r="229" spans="5:9" ht="18" customHeight="1">
      <c r="E229" s="14"/>
      <c r="G229" s="14"/>
      <c r="I229" s="29"/>
    </row>
    <row r="230" spans="5:9" ht="18" customHeight="1">
      <c r="E230" s="14"/>
      <c r="G230" s="14"/>
      <c r="I230" s="29"/>
    </row>
    <row r="231" spans="5:9" ht="18" customHeight="1">
      <c r="E231" s="14"/>
      <c r="G231" s="14"/>
      <c r="I231" s="29"/>
    </row>
    <row r="232" spans="5:9" ht="18" customHeight="1">
      <c r="E232" s="14"/>
      <c r="G232" s="14"/>
      <c r="I232" s="29"/>
    </row>
    <row r="233" spans="5:9" ht="18" customHeight="1">
      <c r="E233" s="14"/>
      <c r="G233" s="14"/>
      <c r="I233" s="29"/>
    </row>
    <row r="234" spans="5:9" ht="18" customHeight="1">
      <c r="E234" s="14"/>
      <c r="G234" s="14"/>
      <c r="I234" s="29"/>
    </row>
    <row r="235" spans="5:9" ht="18" customHeight="1">
      <c r="E235" s="14"/>
      <c r="G235" s="14"/>
      <c r="I235" s="29"/>
    </row>
    <row r="236" spans="5:9" ht="18" customHeight="1">
      <c r="E236" s="14"/>
      <c r="G236" s="14"/>
      <c r="I236" s="29"/>
    </row>
    <row r="237" spans="5:9" ht="18" customHeight="1">
      <c r="E237" s="14"/>
      <c r="G237" s="14"/>
      <c r="I237" s="29"/>
    </row>
    <row r="238" spans="5:9" ht="18" customHeight="1">
      <c r="E238" s="14"/>
      <c r="G238" s="14"/>
      <c r="I238" s="29"/>
    </row>
    <row r="239" spans="5:9" ht="18" customHeight="1">
      <c r="E239" s="14"/>
      <c r="G239" s="14"/>
      <c r="I239" s="29"/>
    </row>
    <row r="240" spans="5:9" ht="18" customHeight="1">
      <c r="E240" s="14"/>
      <c r="G240" s="14"/>
      <c r="I240" s="29"/>
    </row>
    <row r="241" spans="5:9" ht="18" customHeight="1">
      <c r="E241" s="14"/>
      <c r="G241" s="14"/>
      <c r="I241" s="29"/>
    </row>
    <row r="242" spans="5:9" ht="18" customHeight="1">
      <c r="E242" s="14"/>
      <c r="G242" s="14"/>
      <c r="I242" s="29"/>
    </row>
    <row r="243" spans="5:9" ht="18" customHeight="1">
      <c r="E243" s="14"/>
      <c r="G243" s="14"/>
      <c r="I243" s="29"/>
    </row>
    <row r="244" spans="5:9" ht="18" customHeight="1">
      <c r="E244" s="14"/>
      <c r="G244" s="14"/>
      <c r="I244" s="29"/>
    </row>
    <row r="245" spans="5:9" ht="18" customHeight="1">
      <c r="E245" s="14"/>
      <c r="G245" s="14"/>
      <c r="I245" s="29"/>
    </row>
    <row r="246" spans="5:9" ht="18" customHeight="1">
      <c r="E246" s="14"/>
      <c r="G246" s="14"/>
      <c r="I246" s="29"/>
    </row>
    <row r="247" spans="5:9" ht="18" customHeight="1">
      <c r="E247" s="14"/>
      <c r="G247" s="14"/>
      <c r="I247" s="29"/>
    </row>
    <row r="248" spans="5:9" ht="18" customHeight="1">
      <c r="E248" s="14"/>
      <c r="G248" s="14"/>
      <c r="I248" s="29"/>
    </row>
    <row r="249" spans="5:9" ht="18" customHeight="1">
      <c r="E249" s="14"/>
      <c r="G249" s="14"/>
      <c r="I249" s="29"/>
    </row>
    <row r="250" spans="5:9" ht="18" customHeight="1">
      <c r="E250" s="14"/>
      <c r="G250" s="14"/>
      <c r="I250" s="29"/>
    </row>
    <row r="251" spans="5:9" ht="18" customHeight="1">
      <c r="E251" s="14"/>
      <c r="G251" s="14"/>
      <c r="I251" s="29"/>
    </row>
    <row r="252" spans="5:9" ht="18" customHeight="1">
      <c r="E252" s="14"/>
      <c r="G252" s="14"/>
      <c r="I252" s="29"/>
    </row>
    <row r="253" spans="5:9" ht="18" customHeight="1">
      <c r="E253" s="14"/>
      <c r="G253" s="14"/>
      <c r="I253" s="29"/>
    </row>
    <row r="254" spans="5:9" ht="18" customHeight="1">
      <c r="E254" s="14"/>
      <c r="G254" s="14"/>
      <c r="I254" s="29"/>
    </row>
    <row r="255" spans="5:9" ht="18" customHeight="1">
      <c r="E255" s="14"/>
      <c r="G255" s="14"/>
      <c r="I255" s="29"/>
    </row>
    <row r="256" spans="5:9" ht="18" customHeight="1">
      <c r="E256" s="14"/>
      <c r="G256" s="14"/>
      <c r="I256" s="29"/>
    </row>
    <row r="257" spans="5:9" ht="18" customHeight="1">
      <c r="E257" s="14"/>
      <c r="G257" s="14"/>
      <c r="I257" s="29"/>
    </row>
    <row r="258" spans="5:9" ht="18" customHeight="1">
      <c r="E258" s="14"/>
      <c r="G258" s="14"/>
      <c r="I258" s="29"/>
    </row>
    <row r="259" spans="5:9" ht="18" customHeight="1">
      <c r="E259" s="14"/>
      <c r="G259" s="14"/>
      <c r="I259" s="29"/>
    </row>
    <row r="260" spans="5:9" ht="18" customHeight="1">
      <c r="E260" s="14"/>
      <c r="G260" s="14"/>
      <c r="I260" s="29"/>
    </row>
    <row r="261" spans="5:9" ht="18" customHeight="1">
      <c r="E261" s="14"/>
      <c r="G261" s="14"/>
      <c r="I261" s="29"/>
    </row>
    <row r="262" spans="5:9" ht="18" customHeight="1">
      <c r="E262" s="14"/>
      <c r="G262" s="14"/>
      <c r="I262" s="29"/>
    </row>
    <row r="263" spans="5:9" ht="18" customHeight="1">
      <c r="E263" s="14"/>
      <c r="G263" s="14"/>
      <c r="I263" s="29"/>
    </row>
    <row r="264" spans="5:9" ht="18" customHeight="1">
      <c r="E264" s="14"/>
      <c r="G264" s="14"/>
      <c r="I264" s="29"/>
    </row>
    <row r="265" spans="5:9" ht="18" customHeight="1">
      <c r="E265" s="14"/>
      <c r="G265" s="14"/>
      <c r="I265" s="29"/>
    </row>
    <row r="266" spans="5:9" ht="18" customHeight="1">
      <c r="E266" s="14"/>
      <c r="G266" s="14"/>
      <c r="I266" s="29"/>
    </row>
    <row r="267" spans="5:9" ht="18" customHeight="1">
      <c r="E267" s="14"/>
      <c r="G267" s="14"/>
      <c r="I267" s="29"/>
    </row>
    <row r="268" spans="5:9" ht="18" customHeight="1">
      <c r="E268" s="14"/>
      <c r="G268" s="14"/>
      <c r="I268" s="29"/>
    </row>
    <row r="269" spans="5:9" ht="18" customHeight="1">
      <c r="E269" s="14"/>
      <c r="G269" s="14"/>
      <c r="I269" s="29"/>
    </row>
    <row r="270" spans="5:9" ht="18" customHeight="1">
      <c r="E270" s="14"/>
      <c r="G270" s="14"/>
      <c r="I270" s="29"/>
    </row>
    <row r="271" spans="5:9" ht="18" customHeight="1">
      <c r="E271" s="14"/>
      <c r="G271" s="14"/>
      <c r="I271" s="29"/>
    </row>
    <row r="272" spans="5:9" ht="18" customHeight="1">
      <c r="E272" s="14"/>
      <c r="G272" s="14"/>
      <c r="I272" s="29"/>
    </row>
    <row r="273" spans="5:9" ht="18" customHeight="1">
      <c r="E273" s="14"/>
      <c r="G273" s="14"/>
      <c r="I273" s="29"/>
    </row>
    <row r="274" spans="5:9" ht="18" customHeight="1">
      <c r="E274" s="14"/>
      <c r="G274" s="14"/>
      <c r="I274" s="29"/>
    </row>
    <row r="275" spans="5:9" ht="18" customHeight="1">
      <c r="E275" s="14"/>
      <c r="G275" s="14"/>
      <c r="I275" s="29"/>
    </row>
    <row r="276" spans="5:9" ht="18" customHeight="1">
      <c r="E276" s="14"/>
      <c r="G276" s="14"/>
      <c r="I276" s="29"/>
    </row>
    <row r="277" spans="5:9" ht="18" customHeight="1">
      <c r="E277" s="14"/>
      <c r="G277" s="14"/>
      <c r="I277" s="29"/>
    </row>
    <row r="278" spans="5:9" ht="18" customHeight="1">
      <c r="E278" s="14"/>
      <c r="G278" s="14"/>
      <c r="I278" s="29"/>
    </row>
    <row r="279" spans="5:9" ht="18" customHeight="1">
      <c r="E279" s="14"/>
      <c r="G279" s="14"/>
      <c r="I279" s="29"/>
    </row>
    <row r="280" spans="5:9" ht="18" customHeight="1">
      <c r="E280" s="14"/>
      <c r="G280" s="14"/>
      <c r="I280" s="29"/>
    </row>
    <row r="281" spans="5:9" ht="18" customHeight="1">
      <c r="E281" s="14"/>
      <c r="G281" s="14"/>
      <c r="I281" s="29"/>
    </row>
    <row r="282" spans="5:9" ht="18" customHeight="1">
      <c r="E282" s="14"/>
      <c r="G282" s="14"/>
      <c r="I282" s="29"/>
    </row>
    <row r="283" spans="5:9" ht="18" customHeight="1">
      <c r="E283" s="14"/>
      <c r="G283" s="14"/>
      <c r="I283" s="29"/>
    </row>
    <row r="284" spans="5:9" ht="18" customHeight="1">
      <c r="E284" s="14"/>
      <c r="G284" s="14"/>
      <c r="I284" s="29"/>
    </row>
    <row r="285" spans="5:9" ht="18" customHeight="1">
      <c r="E285" s="14"/>
      <c r="G285" s="14"/>
      <c r="I285" s="29"/>
    </row>
    <row r="286" spans="5:9" ht="18" customHeight="1">
      <c r="E286" s="14"/>
      <c r="G286" s="14"/>
      <c r="I286" s="29"/>
    </row>
    <row r="287" spans="5:9" ht="18" customHeight="1">
      <c r="E287" s="14"/>
      <c r="G287" s="14"/>
      <c r="I287" s="29"/>
    </row>
    <row r="288" spans="5:9" ht="18" customHeight="1">
      <c r="E288" s="14"/>
      <c r="G288" s="14"/>
      <c r="I288" s="29"/>
    </row>
    <row r="289" spans="5:9" ht="18" customHeight="1">
      <c r="E289" s="14"/>
      <c r="G289" s="14"/>
      <c r="I289" s="29"/>
    </row>
    <row r="290" spans="5:9" ht="18" customHeight="1">
      <c r="E290" s="14"/>
      <c r="G290" s="14"/>
      <c r="I290" s="29"/>
    </row>
    <row r="291" spans="5:9" ht="18" customHeight="1">
      <c r="E291" s="14"/>
      <c r="G291" s="14"/>
      <c r="I291" s="29"/>
    </row>
    <row r="292" spans="5:9" ht="18" customHeight="1">
      <c r="E292" s="14"/>
      <c r="G292" s="14"/>
      <c r="I292" s="29"/>
    </row>
    <row r="293" spans="5:9" ht="18" customHeight="1">
      <c r="E293" s="14"/>
      <c r="G293" s="14"/>
      <c r="I293" s="29"/>
    </row>
    <row r="294" spans="5:9" ht="18" customHeight="1">
      <c r="E294" s="14"/>
      <c r="G294" s="14"/>
      <c r="I294" s="29"/>
    </row>
    <row r="295" spans="5:9" ht="18" customHeight="1">
      <c r="E295" s="14"/>
      <c r="G295" s="14"/>
      <c r="I295" s="29"/>
    </row>
    <row r="296" spans="5:9" ht="18" customHeight="1">
      <c r="E296" s="14"/>
      <c r="G296" s="14"/>
      <c r="I296" s="29"/>
    </row>
    <row r="297" spans="5:9" ht="18" customHeight="1">
      <c r="E297" s="14"/>
      <c r="G297" s="14"/>
      <c r="I297" s="29"/>
    </row>
    <row r="298" spans="5:9" ht="18" customHeight="1">
      <c r="E298" s="14"/>
      <c r="G298" s="14"/>
      <c r="I298" s="29"/>
    </row>
    <row r="299" spans="5:9" ht="18" customHeight="1">
      <c r="E299" s="14"/>
      <c r="G299" s="14"/>
      <c r="I299" s="29"/>
    </row>
    <row r="300" spans="5:9" ht="18" customHeight="1">
      <c r="E300" s="14"/>
      <c r="G300" s="14"/>
      <c r="I300" s="29"/>
    </row>
    <row r="301" spans="5:9" ht="18" customHeight="1">
      <c r="E301" s="14"/>
      <c r="G301" s="14"/>
      <c r="I301" s="29"/>
    </row>
    <row r="302" spans="5:9" ht="18" customHeight="1">
      <c r="E302" s="14"/>
      <c r="G302" s="14"/>
      <c r="I302" s="29"/>
    </row>
    <row r="303" spans="5:9" ht="18" customHeight="1">
      <c r="E303" s="14"/>
      <c r="G303" s="14"/>
      <c r="I303" s="29"/>
    </row>
    <row r="304" spans="5:9" ht="18" customHeight="1">
      <c r="E304" s="14"/>
      <c r="G304" s="14"/>
      <c r="I304" s="29"/>
    </row>
    <row r="305" spans="5:9" ht="18" customHeight="1">
      <c r="E305" s="14"/>
      <c r="G305" s="14"/>
      <c r="I305" s="29"/>
    </row>
    <row r="306" spans="5:9" ht="18" customHeight="1">
      <c r="E306" s="14"/>
      <c r="G306" s="14"/>
      <c r="I306" s="29"/>
    </row>
    <row r="307" spans="5:9" ht="18" customHeight="1">
      <c r="E307" s="14"/>
      <c r="G307" s="14"/>
      <c r="I307" s="29"/>
    </row>
    <row r="308" spans="5:9" ht="18" customHeight="1">
      <c r="E308" s="14"/>
      <c r="G308" s="14"/>
      <c r="I308" s="29"/>
    </row>
    <row r="309" spans="5:9" ht="18" customHeight="1">
      <c r="E309" s="14"/>
      <c r="G309" s="14"/>
      <c r="I309" s="29"/>
    </row>
    <row r="310" spans="5:9" ht="18" customHeight="1">
      <c r="E310" s="14"/>
      <c r="G310" s="14"/>
      <c r="I310" s="29"/>
    </row>
    <row r="311" spans="5:9" ht="18" customHeight="1">
      <c r="E311" s="14"/>
      <c r="G311" s="14"/>
      <c r="I311" s="29"/>
    </row>
    <row r="312" spans="5:9" ht="18" customHeight="1">
      <c r="E312" s="14"/>
      <c r="G312" s="14"/>
      <c r="I312" s="29"/>
    </row>
    <row r="313" spans="5:9" ht="18" customHeight="1">
      <c r="E313" s="14"/>
      <c r="G313" s="14"/>
      <c r="I313" s="29"/>
    </row>
    <row r="314" spans="5:9" ht="18" customHeight="1">
      <c r="E314" s="14"/>
      <c r="G314" s="14"/>
      <c r="I314" s="29"/>
    </row>
    <row r="315" spans="5:9" ht="18" customHeight="1">
      <c r="E315" s="14"/>
      <c r="G315" s="14"/>
      <c r="I315" s="29"/>
    </row>
    <row r="316" spans="5:9" ht="18" customHeight="1">
      <c r="E316" s="14"/>
      <c r="G316" s="14"/>
      <c r="I316" s="29"/>
    </row>
    <row r="317" spans="5:9" ht="18" customHeight="1">
      <c r="E317" s="14"/>
      <c r="G317" s="14"/>
      <c r="I317" s="29"/>
    </row>
    <row r="318" spans="5:9" ht="18" customHeight="1">
      <c r="E318" s="14"/>
      <c r="G318" s="14"/>
      <c r="I318" s="29"/>
    </row>
    <row r="319" spans="5:9" ht="18" customHeight="1">
      <c r="E319" s="14"/>
      <c r="G319" s="14"/>
      <c r="I319" s="29"/>
    </row>
    <row r="320" spans="5:9" ht="18" customHeight="1">
      <c r="E320" s="14"/>
      <c r="G320" s="14"/>
      <c r="I320" s="29"/>
    </row>
    <row r="321" spans="5:9" ht="18" customHeight="1">
      <c r="E321" s="14"/>
      <c r="G321" s="14"/>
      <c r="I321" s="29"/>
    </row>
    <row r="322" spans="5:9" ht="18" customHeight="1">
      <c r="E322" s="14"/>
      <c r="G322" s="14"/>
      <c r="I322" s="29"/>
    </row>
    <row r="323" spans="5:9" ht="18" customHeight="1">
      <c r="E323" s="14"/>
      <c r="G323" s="14"/>
      <c r="I323" s="29"/>
    </row>
    <row r="324" spans="5:9" ht="18" customHeight="1">
      <c r="E324" s="14"/>
      <c r="G324" s="14"/>
      <c r="I324" s="29"/>
    </row>
    <row r="325" spans="5:9" ht="18" customHeight="1">
      <c r="E325" s="14"/>
      <c r="G325" s="14"/>
      <c r="I325" s="29"/>
    </row>
    <row r="326" spans="5:9" ht="18" customHeight="1">
      <c r="E326" s="14"/>
      <c r="G326" s="14"/>
      <c r="I326" s="29"/>
    </row>
    <row r="327" spans="5:9" ht="18" customHeight="1">
      <c r="E327" s="14"/>
      <c r="G327" s="14"/>
      <c r="I327" s="29"/>
    </row>
    <row r="328" spans="5:9" ht="18" customHeight="1">
      <c r="E328" s="14"/>
      <c r="G328" s="14"/>
      <c r="I328" s="29"/>
    </row>
    <row r="329" spans="5:9" ht="18" customHeight="1">
      <c r="E329" s="14"/>
      <c r="G329" s="14"/>
      <c r="I329" s="29"/>
    </row>
    <row r="330" spans="5:9" ht="18" customHeight="1">
      <c r="E330" s="14"/>
      <c r="G330" s="14"/>
      <c r="I330" s="29"/>
    </row>
    <row r="331" spans="5:9" ht="18" customHeight="1">
      <c r="E331" s="14"/>
      <c r="G331" s="14"/>
      <c r="I331" s="29"/>
    </row>
    <row r="332" spans="5:9" ht="18" customHeight="1">
      <c r="E332" s="14"/>
      <c r="G332" s="14"/>
      <c r="I332" s="29"/>
    </row>
    <row r="333" spans="5:9" ht="18" customHeight="1">
      <c r="E333" s="14"/>
      <c r="G333" s="14"/>
      <c r="I333" s="29"/>
    </row>
    <row r="334" spans="5:9" ht="18" customHeight="1">
      <c r="E334" s="14"/>
      <c r="G334" s="14"/>
      <c r="I334" s="29"/>
    </row>
    <row r="335" spans="5:9" ht="18" customHeight="1">
      <c r="E335" s="14"/>
      <c r="G335" s="14"/>
      <c r="I335" s="29"/>
    </row>
    <row r="336" spans="5:9" ht="18" customHeight="1">
      <c r="E336" s="14"/>
      <c r="G336" s="14"/>
      <c r="I336" s="29"/>
    </row>
    <row r="337" spans="5:9" ht="18" customHeight="1">
      <c r="E337" s="14"/>
      <c r="G337" s="14"/>
      <c r="I337" s="29"/>
    </row>
    <row r="338" spans="5:9" ht="18" customHeight="1">
      <c r="E338" s="14"/>
      <c r="G338" s="14"/>
      <c r="I338" s="29"/>
    </row>
    <row r="339" spans="5:9" ht="18" customHeight="1">
      <c r="E339" s="14"/>
      <c r="G339" s="14"/>
      <c r="I339" s="29"/>
    </row>
    <row r="340" spans="5:9" ht="18" customHeight="1">
      <c r="E340" s="14"/>
      <c r="G340" s="14"/>
      <c r="I340" s="29"/>
    </row>
    <row r="341" spans="5:9" ht="18" customHeight="1">
      <c r="E341" s="14"/>
      <c r="G341" s="14"/>
      <c r="I341" s="29"/>
    </row>
    <row r="342" spans="5:9" ht="18" customHeight="1">
      <c r="E342" s="14"/>
      <c r="G342" s="14"/>
      <c r="I342" s="29"/>
    </row>
    <row r="343" spans="5:9" ht="18" customHeight="1">
      <c r="E343" s="14"/>
      <c r="G343" s="14"/>
      <c r="I343" s="29"/>
    </row>
    <row r="344" spans="5:9" ht="18" customHeight="1">
      <c r="E344" s="14"/>
      <c r="G344" s="14"/>
      <c r="I344" s="29"/>
    </row>
    <row r="345" spans="5:9" ht="18" customHeight="1">
      <c r="E345" s="14"/>
      <c r="G345" s="14"/>
      <c r="I345" s="29"/>
    </row>
    <row r="346" spans="5:9" ht="18" customHeight="1">
      <c r="E346" s="14"/>
      <c r="G346" s="14"/>
      <c r="I346" s="29"/>
    </row>
    <row r="347" spans="5:9" ht="18" customHeight="1">
      <c r="E347" s="14"/>
      <c r="G347" s="14"/>
      <c r="I347" s="29"/>
    </row>
    <row r="348" spans="5:9" ht="18" customHeight="1">
      <c r="E348" s="14"/>
      <c r="G348" s="14"/>
      <c r="I348" s="29"/>
    </row>
    <row r="349" spans="5:9" ht="18" customHeight="1">
      <c r="E349" s="14"/>
      <c r="G349" s="14"/>
      <c r="I349" s="29"/>
    </row>
    <row r="350" spans="5:9" ht="18" customHeight="1">
      <c r="E350" s="14"/>
      <c r="G350" s="14"/>
      <c r="I350" s="29"/>
    </row>
    <row r="351" spans="5:9" ht="18" customHeight="1">
      <c r="E351" s="14"/>
      <c r="G351" s="14"/>
      <c r="I351" s="29"/>
    </row>
    <row r="352" spans="5:9" ht="18" customHeight="1">
      <c r="E352" s="14"/>
      <c r="G352" s="14"/>
      <c r="I352" s="29"/>
    </row>
    <row r="353" spans="5:9" ht="18" customHeight="1">
      <c r="E353" s="14"/>
      <c r="G353" s="14"/>
      <c r="I353" s="29"/>
    </row>
    <row r="354" spans="5:9" ht="18" customHeight="1">
      <c r="E354" s="14"/>
      <c r="G354" s="14"/>
      <c r="I354" s="29"/>
    </row>
    <row r="355" spans="5:9" ht="18" customHeight="1">
      <c r="E355" s="14"/>
      <c r="G355" s="14"/>
      <c r="I355" s="29"/>
    </row>
    <row r="356" spans="5:9" ht="18" customHeight="1">
      <c r="E356" s="14"/>
      <c r="G356" s="14"/>
      <c r="I356" s="29"/>
    </row>
    <row r="357" spans="5:9" ht="18" customHeight="1">
      <c r="E357" s="14"/>
      <c r="G357" s="14"/>
      <c r="I357" s="29"/>
    </row>
    <row r="358" spans="5:9" ht="18" customHeight="1">
      <c r="E358" s="14"/>
      <c r="G358" s="14"/>
      <c r="I358" s="29"/>
    </row>
    <row r="359" spans="5:9" ht="18" customHeight="1">
      <c r="E359" s="14"/>
      <c r="G359" s="14"/>
      <c r="I359" s="29"/>
    </row>
    <row r="360" spans="5:9" ht="18" customHeight="1">
      <c r="E360" s="14"/>
      <c r="G360" s="14"/>
      <c r="I360" s="29"/>
    </row>
    <row r="361" spans="5:9" ht="18" customHeight="1">
      <c r="E361" s="14"/>
      <c r="G361" s="14"/>
      <c r="I361" s="29"/>
    </row>
    <row r="362" spans="5:9" ht="18" customHeight="1">
      <c r="E362" s="14"/>
      <c r="G362" s="14"/>
      <c r="I362" s="29"/>
    </row>
    <row r="363" spans="5:9" ht="18" customHeight="1">
      <c r="E363" s="14"/>
      <c r="G363" s="14"/>
      <c r="I363" s="29"/>
    </row>
    <row r="364" spans="5:9" ht="18" customHeight="1">
      <c r="E364" s="14"/>
      <c r="G364" s="14"/>
      <c r="I364" s="29"/>
    </row>
    <row r="365" spans="5:9" ht="18" customHeight="1">
      <c r="E365" s="14"/>
      <c r="G365" s="14"/>
      <c r="I365" s="29"/>
    </row>
    <row r="366" spans="5:9" ht="18" customHeight="1">
      <c r="E366" s="14"/>
      <c r="G366" s="14"/>
      <c r="I366" s="29"/>
    </row>
    <row r="367" spans="5:9" ht="18" customHeight="1">
      <c r="E367" s="14"/>
      <c r="G367" s="14"/>
      <c r="I367" s="29"/>
    </row>
    <row r="368" spans="5:9" ht="18" customHeight="1">
      <c r="E368" s="14"/>
      <c r="G368" s="14"/>
      <c r="I368" s="29"/>
    </row>
    <row r="369" spans="5:9" ht="18" customHeight="1">
      <c r="E369" s="14"/>
      <c r="G369" s="14"/>
      <c r="I369" s="29"/>
    </row>
    <row r="370" spans="5:9" ht="18" customHeight="1">
      <c r="E370" s="14"/>
      <c r="G370" s="14"/>
      <c r="I370" s="29"/>
    </row>
    <row r="371" spans="5:9" ht="18" customHeight="1">
      <c r="E371" s="14"/>
      <c r="G371" s="14"/>
      <c r="I371" s="29"/>
    </row>
    <row r="372" spans="5:9" ht="18" customHeight="1">
      <c r="E372" s="14"/>
      <c r="G372" s="14"/>
      <c r="I372" s="29"/>
    </row>
    <row r="373" spans="5:9" ht="18" customHeight="1">
      <c r="E373" s="14"/>
      <c r="G373" s="14"/>
      <c r="I373" s="29"/>
    </row>
    <row r="374" spans="5:9" ht="18" customHeight="1">
      <c r="E374" s="14"/>
      <c r="G374" s="14"/>
      <c r="I374" s="29"/>
    </row>
    <row r="375" spans="5:9" ht="18" customHeight="1">
      <c r="E375" s="14"/>
      <c r="G375" s="14"/>
      <c r="I375" s="29"/>
    </row>
    <row r="376" spans="5:9" ht="18" customHeight="1">
      <c r="E376" s="14"/>
      <c r="G376" s="14"/>
      <c r="I376" s="29"/>
    </row>
    <row r="377" spans="5:9" ht="18" customHeight="1">
      <c r="E377" s="14"/>
      <c r="G377" s="14"/>
      <c r="I377" s="29"/>
    </row>
    <row r="378" spans="5:9" ht="18" customHeight="1">
      <c r="E378" s="14"/>
      <c r="G378" s="14"/>
      <c r="I378" s="29"/>
    </row>
    <row r="379" spans="5:9" ht="18" customHeight="1">
      <c r="E379" s="14"/>
      <c r="G379" s="14"/>
      <c r="I379" s="29"/>
    </row>
    <row r="380" spans="5:9" ht="18" customHeight="1">
      <c r="E380" s="14"/>
      <c r="G380" s="14"/>
      <c r="I380" s="29"/>
    </row>
    <row r="381" spans="5:9" ht="18" customHeight="1">
      <c r="E381" s="14"/>
      <c r="G381" s="14"/>
      <c r="I381" s="29"/>
    </row>
    <row r="382" spans="5:9" ht="18" customHeight="1">
      <c r="E382" s="14"/>
      <c r="G382" s="14"/>
      <c r="I382" s="29"/>
    </row>
    <row r="383" spans="5:9" ht="18" customHeight="1">
      <c r="E383" s="14"/>
      <c r="G383" s="14"/>
      <c r="I383" s="29"/>
    </row>
    <row r="384" spans="5:9" ht="18" customHeight="1">
      <c r="E384" s="14"/>
      <c r="G384" s="14"/>
      <c r="I384" s="29"/>
    </row>
    <row r="385" spans="5:9" ht="18" customHeight="1">
      <c r="E385" s="14"/>
      <c r="G385" s="14"/>
      <c r="I385" s="29"/>
    </row>
    <row r="386" spans="5:9" ht="18" customHeight="1">
      <c r="E386" s="14"/>
      <c r="G386" s="14"/>
      <c r="I386" s="29"/>
    </row>
    <row r="387" spans="5:9" ht="18" customHeight="1">
      <c r="E387" s="14"/>
      <c r="G387" s="14"/>
      <c r="I387" s="29"/>
    </row>
    <row r="388" spans="5:9" ht="18" customHeight="1">
      <c r="E388" s="14"/>
      <c r="G388" s="14"/>
      <c r="I388" s="29"/>
    </row>
    <row r="389" spans="5:9" ht="18" customHeight="1">
      <c r="E389" s="14"/>
      <c r="G389" s="14"/>
      <c r="I389" s="29"/>
    </row>
    <row r="390" spans="5:9" ht="18" customHeight="1">
      <c r="E390" s="14"/>
      <c r="G390" s="14"/>
      <c r="I390" s="29"/>
    </row>
    <row r="391" spans="5:9" ht="18" customHeight="1">
      <c r="E391" s="14"/>
      <c r="G391" s="14"/>
      <c r="I391" s="29"/>
    </row>
    <row r="392" spans="5:9" ht="18" customHeight="1">
      <c r="E392" s="14"/>
      <c r="G392" s="14"/>
      <c r="I392" s="29"/>
    </row>
    <row r="393" spans="5:9" ht="18" customHeight="1">
      <c r="E393" s="14"/>
      <c r="G393" s="14"/>
      <c r="I393" s="29"/>
    </row>
    <row r="394" spans="5:9" ht="18" customHeight="1">
      <c r="E394" s="14"/>
      <c r="G394" s="14"/>
      <c r="I394" s="29"/>
    </row>
    <row r="395" spans="5:9" ht="18" customHeight="1">
      <c r="E395" s="14"/>
      <c r="G395" s="14"/>
      <c r="I395" s="29"/>
    </row>
    <row r="396" spans="5:9" ht="18" customHeight="1">
      <c r="E396" s="14"/>
      <c r="G396" s="14"/>
      <c r="I396" s="29"/>
    </row>
    <row r="397" spans="5:9" ht="18" customHeight="1">
      <c r="E397" s="14"/>
      <c r="G397" s="14"/>
      <c r="I397" s="29"/>
    </row>
    <row r="398" spans="5:9" ht="18" customHeight="1">
      <c r="E398" s="14"/>
      <c r="G398" s="14"/>
      <c r="I398" s="29"/>
    </row>
    <row r="399" spans="5:9" ht="18" customHeight="1">
      <c r="E399" s="14"/>
      <c r="G399" s="14"/>
      <c r="I399" s="29"/>
    </row>
    <row r="400" spans="5:9" ht="18" customHeight="1">
      <c r="E400" s="14"/>
      <c r="G400" s="14"/>
      <c r="I400" s="29"/>
    </row>
    <row r="401" spans="5:9" ht="18" customHeight="1">
      <c r="E401" s="14"/>
      <c r="G401" s="14"/>
      <c r="I401" s="29"/>
    </row>
    <row r="402" spans="5:9" ht="18" customHeight="1">
      <c r="E402" s="14"/>
      <c r="G402" s="14"/>
      <c r="I402" s="29"/>
    </row>
    <row r="403" spans="5:9" ht="18" customHeight="1">
      <c r="E403" s="14"/>
      <c r="G403" s="14"/>
      <c r="I403" s="29"/>
    </row>
    <row r="404" spans="5:9" ht="18" customHeight="1">
      <c r="E404" s="14"/>
      <c r="G404" s="14"/>
      <c r="I404" s="29"/>
    </row>
    <row r="405" spans="5:9" ht="18" customHeight="1">
      <c r="E405" s="14"/>
      <c r="G405" s="14"/>
      <c r="I405" s="29"/>
    </row>
    <row r="406" spans="5:9" ht="18" customHeight="1">
      <c r="E406" s="14"/>
      <c r="G406" s="14"/>
      <c r="I406" s="29"/>
    </row>
    <row r="407" spans="5:9" ht="18" customHeight="1">
      <c r="E407" s="14"/>
      <c r="G407" s="14"/>
      <c r="I407" s="29"/>
    </row>
    <row r="408" spans="5:9" ht="18" customHeight="1">
      <c r="E408" s="14"/>
      <c r="G408" s="14"/>
      <c r="I408" s="29"/>
    </row>
    <row r="409" spans="5:9" ht="18" customHeight="1">
      <c r="E409" s="14"/>
      <c r="G409" s="14"/>
      <c r="I409" s="29"/>
    </row>
    <row r="410" spans="5:9" ht="18" customHeight="1">
      <c r="E410" s="14"/>
      <c r="G410" s="14"/>
      <c r="I410" s="29"/>
    </row>
    <row r="411" spans="5:9" ht="18" customHeight="1">
      <c r="E411" s="14"/>
      <c r="G411" s="14"/>
      <c r="I411" s="29"/>
    </row>
    <row r="412" spans="5:9" ht="18" customHeight="1">
      <c r="E412" s="14"/>
      <c r="G412" s="14"/>
      <c r="I412" s="29"/>
    </row>
    <row r="413" spans="5:9" ht="18" customHeight="1">
      <c r="E413" s="14"/>
      <c r="G413" s="14"/>
      <c r="I413" s="29"/>
    </row>
    <row r="414" spans="5:9" ht="18" customHeight="1">
      <c r="E414" s="14"/>
      <c r="G414" s="14"/>
      <c r="I414" s="29"/>
    </row>
    <row r="415" spans="5:9" ht="18" customHeight="1">
      <c r="E415" s="14"/>
      <c r="G415" s="14"/>
      <c r="I415" s="29"/>
    </row>
    <row r="416" spans="5:9" ht="18" customHeight="1">
      <c r="E416" s="14"/>
      <c r="G416" s="14"/>
      <c r="I416" s="29"/>
    </row>
    <row r="417" spans="5:9" ht="18" customHeight="1">
      <c r="E417" s="14"/>
      <c r="G417" s="14"/>
      <c r="I417" s="29"/>
    </row>
    <row r="418" spans="5:9" ht="18" customHeight="1">
      <c r="E418" s="14"/>
      <c r="G418" s="14"/>
      <c r="I418" s="29"/>
    </row>
    <row r="419" spans="5:9" ht="18" customHeight="1">
      <c r="E419" s="14"/>
      <c r="G419" s="14"/>
      <c r="I419" s="29"/>
    </row>
    <row r="420" spans="5:9" ht="18" customHeight="1">
      <c r="E420" s="14"/>
      <c r="G420" s="14"/>
      <c r="I420" s="29"/>
    </row>
    <row r="421" spans="5:9" ht="18" customHeight="1">
      <c r="E421" s="14"/>
      <c r="G421" s="14"/>
      <c r="I421" s="29"/>
    </row>
    <row r="422" spans="5:9" ht="18" customHeight="1">
      <c r="E422" s="14"/>
      <c r="G422" s="14"/>
      <c r="I422" s="29"/>
    </row>
    <row r="423" spans="5:9" ht="18" customHeight="1">
      <c r="E423" s="14"/>
      <c r="G423" s="14"/>
      <c r="I423" s="29"/>
    </row>
    <row r="424" spans="5:9" ht="18" customHeight="1">
      <c r="E424" s="14"/>
      <c r="G424" s="14"/>
      <c r="I424" s="29"/>
    </row>
    <row r="425" spans="5:9" ht="18" customHeight="1">
      <c r="E425" s="14"/>
      <c r="G425" s="14"/>
      <c r="I425" s="29"/>
    </row>
    <row r="426" spans="5:9" ht="18" customHeight="1">
      <c r="E426" s="14"/>
      <c r="G426" s="14"/>
      <c r="I426" s="29"/>
    </row>
    <row r="427" spans="5:9" ht="18" customHeight="1">
      <c r="E427" s="14"/>
      <c r="G427" s="14"/>
      <c r="I427" s="29"/>
    </row>
    <row r="428" spans="5:9" ht="18" customHeight="1">
      <c r="E428" s="14"/>
      <c r="G428" s="14"/>
      <c r="I428" s="29"/>
    </row>
    <row r="429" spans="5:9" ht="18" customHeight="1">
      <c r="E429" s="14"/>
      <c r="G429" s="14"/>
      <c r="I429" s="29"/>
    </row>
    <row r="430" spans="5:9" ht="18" customHeight="1">
      <c r="E430" s="14"/>
      <c r="G430" s="14"/>
      <c r="I430" s="29"/>
    </row>
    <row r="431" spans="5:9" ht="18" customHeight="1">
      <c r="E431" s="14"/>
      <c r="G431" s="14"/>
      <c r="I431" s="29"/>
    </row>
    <row r="432" spans="5:9" ht="18" customHeight="1">
      <c r="E432" s="14"/>
      <c r="G432" s="14"/>
      <c r="I432" s="29"/>
    </row>
    <row r="433" spans="5:9" ht="18" customHeight="1">
      <c r="E433" s="14"/>
      <c r="G433" s="14"/>
      <c r="I433" s="29"/>
    </row>
    <row r="434" spans="5:9" ht="18" customHeight="1">
      <c r="E434" s="14"/>
      <c r="G434" s="14"/>
      <c r="I434" s="29"/>
    </row>
    <row r="435" spans="5:9" ht="18" customHeight="1">
      <c r="E435" s="14"/>
      <c r="G435" s="14"/>
      <c r="I435" s="29"/>
    </row>
    <row r="436" spans="5:9" ht="18" customHeight="1">
      <c r="E436" s="14"/>
      <c r="G436" s="14"/>
      <c r="I436" s="29"/>
    </row>
    <row r="437" spans="5:9" ht="18" customHeight="1">
      <c r="E437" s="14"/>
      <c r="G437" s="14"/>
      <c r="I437" s="29"/>
    </row>
    <row r="438" spans="5:9" ht="18" customHeight="1">
      <c r="E438" s="14"/>
      <c r="G438" s="14"/>
      <c r="I438" s="29"/>
    </row>
    <row r="439" spans="5:9" ht="18" customHeight="1">
      <c r="E439" s="14"/>
      <c r="G439" s="14"/>
      <c r="I439" s="29"/>
    </row>
    <row r="440" spans="5:9" ht="18" customHeight="1">
      <c r="E440" s="14"/>
      <c r="G440" s="14"/>
      <c r="I440" s="29"/>
    </row>
    <row r="441" spans="5:9" ht="18" customHeight="1">
      <c r="E441" s="14"/>
      <c r="G441" s="14"/>
      <c r="I441" s="29"/>
    </row>
    <row r="442" spans="5:9" ht="18" customHeight="1">
      <c r="E442" s="14"/>
      <c r="G442" s="14"/>
      <c r="I442" s="29"/>
    </row>
    <row r="443" spans="5:9" ht="18" customHeight="1">
      <c r="E443" s="14"/>
      <c r="G443" s="14"/>
      <c r="I443" s="29"/>
    </row>
    <row r="444" spans="5:9" ht="18" customHeight="1">
      <c r="E444" s="14"/>
      <c r="G444" s="14"/>
      <c r="I444" s="29"/>
    </row>
    <row r="445" spans="5:9" ht="18" customHeight="1">
      <c r="E445" s="14"/>
      <c r="G445" s="14"/>
      <c r="I445" s="29"/>
    </row>
    <row r="446" spans="5:9" ht="18" customHeight="1">
      <c r="E446" s="14"/>
      <c r="G446" s="14"/>
      <c r="I446" s="29"/>
    </row>
    <row r="447" spans="5:9" ht="18" customHeight="1">
      <c r="E447" s="14"/>
      <c r="G447" s="14"/>
      <c r="I447" s="29"/>
    </row>
    <row r="448" spans="5:9" ht="18" customHeight="1">
      <c r="E448" s="14"/>
      <c r="G448" s="14"/>
      <c r="I448" s="29"/>
    </row>
    <row r="449" spans="5:9" ht="18" customHeight="1">
      <c r="E449" s="14"/>
      <c r="G449" s="14"/>
      <c r="I449" s="29"/>
    </row>
    <row r="450" spans="5:9" ht="18" customHeight="1">
      <c r="E450" s="14"/>
      <c r="G450" s="14"/>
      <c r="I450" s="29"/>
    </row>
    <row r="451" spans="5:9" ht="18" customHeight="1">
      <c r="E451" s="14"/>
      <c r="G451" s="14"/>
      <c r="I451" s="29"/>
    </row>
    <row r="452" spans="5:9" ht="18" customHeight="1">
      <c r="E452" s="14"/>
      <c r="G452" s="14"/>
      <c r="I452" s="29"/>
    </row>
    <row r="453" spans="5:9" ht="18" customHeight="1">
      <c r="E453" s="14"/>
      <c r="G453" s="14"/>
      <c r="I453" s="29"/>
    </row>
    <row r="454" spans="5:9" ht="18" customHeight="1">
      <c r="E454" s="14"/>
      <c r="G454" s="14"/>
      <c r="I454" s="29"/>
    </row>
    <row r="455" spans="5:9" ht="18" customHeight="1">
      <c r="E455" s="14"/>
      <c r="G455" s="14"/>
      <c r="I455" s="29"/>
    </row>
    <row r="456" spans="5:9" ht="18" customHeight="1">
      <c r="E456" s="14"/>
      <c r="G456" s="14"/>
      <c r="I456" s="29"/>
    </row>
    <row r="457" spans="5:9" ht="18" customHeight="1">
      <c r="E457" s="14"/>
      <c r="G457" s="14"/>
      <c r="I457" s="29"/>
    </row>
    <row r="458" spans="5:9" ht="18" customHeight="1">
      <c r="E458" s="14"/>
      <c r="G458" s="14"/>
      <c r="I458" s="29"/>
    </row>
    <row r="459" spans="5:9" ht="18" customHeight="1">
      <c r="E459" s="14"/>
      <c r="G459" s="14"/>
      <c r="I459" s="29"/>
    </row>
    <row r="460" spans="5:9" ht="18" customHeight="1">
      <c r="E460" s="14"/>
      <c r="G460" s="14"/>
      <c r="I460" s="29"/>
    </row>
    <row r="461" spans="5:9" ht="18" customHeight="1">
      <c r="E461" s="14"/>
      <c r="G461" s="14"/>
      <c r="I461" s="29"/>
    </row>
    <row r="462" spans="5:9" ht="18" customHeight="1">
      <c r="E462" s="14"/>
      <c r="G462" s="14"/>
      <c r="I462" s="29"/>
    </row>
    <row r="463" spans="5:9" ht="18" customHeight="1">
      <c r="E463" s="14"/>
      <c r="G463" s="14"/>
      <c r="I463" s="29"/>
    </row>
    <row r="464" spans="5:9" ht="18" customHeight="1">
      <c r="E464" s="14"/>
      <c r="G464" s="14"/>
      <c r="I464" s="29"/>
    </row>
    <row r="465" spans="5:9" ht="18" customHeight="1">
      <c r="E465" s="14"/>
      <c r="G465" s="14"/>
      <c r="I465" s="29"/>
    </row>
    <row r="466" spans="5:9" ht="18" customHeight="1">
      <c r="E466" s="14"/>
      <c r="G466" s="14"/>
      <c r="I466" s="29"/>
    </row>
    <row r="467" spans="5:9" ht="18" customHeight="1">
      <c r="E467" s="14"/>
      <c r="G467" s="14"/>
      <c r="I467" s="29"/>
    </row>
    <row r="468" spans="5:9" ht="18" customHeight="1">
      <c r="E468" s="14"/>
      <c r="G468" s="14"/>
      <c r="I468" s="29"/>
    </row>
    <row r="469" spans="5:9" ht="18" customHeight="1">
      <c r="E469" s="14"/>
      <c r="G469" s="14"/>
      <c r="I469" s="29"/>
    </row>
    <row r="470" spans="5:9" ht="18" customHeight="1">
      <c r="E470" s="14"/>
      <c r="G470" s="14"/>
      <c r="I470" s="29"/>
    </row>
    <row r="471" spans="5:9" ht="18" customHeight="1">
      <c r="E471" s="14"/>
      <c r="G471" s="14"/>
      <c r="I471" s="29"/>
    </row>
    <row r="472" spans="5:9" ht="18" customHeight="1">
      <c r="E472" s="14"/>
      <c r="G472" s="14"/>
      <c r="I472" s="29"/>
    </row>
    <row r="473" spans="5:9" ht="18" customHeight="1">
      <c r="E473" s="14"/>
      <c r="G473" s="14"/>
      <c r="I473" s="29"/>
    </row>
    <row r="474" spans="5:9" ht="18" customHeight="1">
      <c r="E474" s="14"/>
      <c r="G474" s="14"/>
      <c r="I474" s="29"/>
    </row>
    <row r="475" spans="5:9" ht="18" customHeight="1">
      <c r="E475" s="14"/>
      <c r="G475" s="14"/>
      <c r="I475" s="29"/>
    </row>
    <row r="476" spans="5:9" ht="18" customHeight="1">
      <c r="E476" s="14"/>
      <c r="G476" s="14"/>
      <c r="I476" s="29"/>
    </row>
    <row r="477" spans="5:9" ht="18" customHeight="1">
      <c r="E477" s="14"/>
      <c r="G477" s="14"/>
      <c r="I477" s="29"/>
    </row>
    <row r="478" spans="5:9" ht="18" customHeight="1">
      <c r="E478" s="14"/>
      <c r="G478" s="14"/>
      <c r="I478" s="29"/>
    </row>
    <row r="479" spans="5:9" ht="18" customHeight="1">
      <c r="E479" s="14"/>
      <c r="G479" s="14"/>
      <c r="I479" s="29"/>
    </row>
    <row r="480" spans="5:9" ht="18" customHeight="1">
      <c r="E480" s="14"/>
      <c r="G480" s="14"/>
      <c r="I480" s="29"/>
    </row>
    <row r="481" spans="5:9" ht="18" customHeight="1">
      <c r="E481" s="14"/>
      <c r="G481" s="14"/>
      <c r="I481" s="29"/>
    </row>
    <row r="482" spans="5:9" ht="18" customHeight="1">
      <c r="E482" s="14"/>
      <c r="G482" s="14"/>
      <c r="I482" s="29"/>
    </row>
    <row r="483" spans="5:9" ht="18" customHeight="1">
      <c r="E483" s="14"/>
      <c r="G483" s="14"/>
      <c r="I483" s="29"/>
    </row>
    <row r="484" spans="5:9" ht="18" customHeight="1">
      <c r="E484" s="14"/>
      <c r="G484" s="14"/>
      <c r="I484" s="29"/>
    </row>
    <row r="485" spans="5:9" ht="18" customHeight="1">
      <c r="E485" s="14"/>
      <c r="G485" s="14"/>
      <c r="I485" s="29"/>
    </row>
    <row r="486" spans="5:9" ht="18" customHeight="1">
      <c r="E486" s="14"/>
      <c r="G486" s="14"/>
      <c r="I486" s="29"/>
    </row>
    <row r="487" spans="5:9" ht="18" customHeight="1">
      <c r="E487" s="14"/>
      <c r="G487" s="14"/>
      <c r="I487" s="29"/>
    </row>
    <row r="488" spans="5:9" ht="18" customHeight="1">
      <c r="E488" s="14"/>
      <c r="G488" s="14"/>
      <c r="I488" s="29"/>
    </row>
    <row r="489" spans="5:9" ht="18" customHeight="1">
      <c r="E489" s="14"/>
      <c r="G489" s="14"/>
      <c r="I489" s="29"/>
    </row>
    <row r="490" spans="5:9" ht="18" customHeight="1">
      <c r="E490" s="14"/>
      <c r="G490" s="14"/>
      <c r="I490" s="29"/>
    </row>
    <row r="491" spans="5:9" ht="18" customHeight="1">
      <c r="E491" s="14"/>
      <c r="G491" s="14"/>
      <c r="I491" s="29"/>
    </row>
    <row r="492" spans="5:9" ht="18" customHeight="1">
      <c r="E492" s="14"/>
      <c r="G492" s="14"/>
      <c r="I492" s="29"/>
    </row>
    <row r="493" spans="5:9" ht="18" customHeight="1">
      <c r="E493" s="14"/>
      <c r="G493" s="14"/>
      <c r="I493" s="29"/>
    </row>
    <row r="494" spans="5:9" ht="18" customHeight="1">
      <c r="E494" s="14"/>
      <c r="G494" s="14"/>
      <c r="I494" s="29"/>
    </row>
    <row r="495" spans="5:9" ht="18" customHeight="1">
      <c r="E495" s="14"/>
      <c r="G495" s="14"/>
      <c r="I495" s="29"/>
    </row>
    <row r="496" spans="5:9" ht="18" customHeight="1">
      <c r="E496" s="14"/>
      <c r="G496" s="14"/>
      <c r="I496" s="29"/>
    </row>
    <row r="497" spans="5:9" ht="18" customHeight="1">
      <c r="E497" s="14"/>
      <c r="G497" s="14"/>
      <c r="I497" s="29"/>
    </row>
    <row r="498" spans="5:9" ht="18" customHeight="1">
      <c r="E498" s="14"/>
      <c r="G498" s="14"/>
      <c r="I498" s="29"/>
    </row>
    <row r="499" spans="5:9" ht="18" customHeight="1">
      <c r="E499" s="14"/>
      <c r="G499" s="14"/>
      <c r="I499" s="29"/>
    </row>
    <row r="500" spans="5:9" ht="18" customHeight="1">
      <c r="E500" s="14"/>
      <c r="G500" s="14"/>
      <c r="I500" s="29"/>
    </row>
    <row r="501" spans="5:9" ht="18" customHeight="1">
      <c r="E501" s="14"/>
      <c r="G501" s="14"/>
      <c r="I501" s="29"/>
    </row>
    <row r="502" spans="5:9" ht="18" customHeight="1">
      <c r="E502" s="14"/>
      <c r="G502" s="14"/>
      <c r="I502" s="29"/>
    </row>
    <row r="503" spans="5:9" ht="18" customHeight="1">
      <c r="E503" s="14"/>
      <c r="G503" s="14"/>
      <c r="I503" s="29"/>
    </row>
    <row r="504" spans="5:9" ht="18" customHeight="1">
      <c r="E504" s="14"/>
      <c r="G504" s="14"/>
      <c r="I504" s="29"/>
    </row>
    <row r="505" spans="5:9" ht="18" customHeight="1">
      <c r="E505" s="14"/>
      <c r="G505" s="14"/>
      <c r="I505" s="29"/>
    </row>
    <row r="506" spans="5:9" ht="18" customHeight="1">
      <c r="E506" s="14"/>
      <c r="G506" s="14"/>
      <c r="I506" s="29"/>
    </row>
    <row r="507" spans="5:9" ht="18" customHeight="1">
      <c r="E507" s="14"/>
      <c r="G507" s="14"/>
      <c r="I507" s="29"/>
    </row>
    <row r="508" spans="5:9" ht="18" customHeight="1">
      <c r="E508" s="14"/>
      <c r="G508" s="14"/>
      <c r="I508" s="29"/>
    </row>
    <row r="509" spans="5:9" ht="18" customHeight="1">
      <c r="E509" s="14"/>
      <c r="G509" s="14"/>
      <c r="I509" s="29"/>
    </row>
    <row r="510" spans="5:9" ht="18" customHeight="1">
      <c r="E510" s="14"/>
      <c r="G510" s="14"/>
      <c r="I510" s="29"/>
    </row>
    <row r="511" spans="5:9" ht="18" customHeight="1">
      <c r="E511" s="14"/>
      <c r="G511" s="14"/>
      <c r="I511" s="29"/>
    </row>
    <row r="512" spans="5:9" ht="18" customHeight="1">
      <c r="E512" s="14"/>
      <c r="G512" s="14"/>
      <c r="I512" s="29"/>
    </row>
    <row r="513" spans="5:9" ht="18" customHeight="1">
      <c r="E513" s="14"/>
      <c r="G513" s="14"/>
      <c r="I513" s="29"/>
    </row>
    <row r="514" spans="5:9" ht="18" customHeight="1">
      <c r="E514" s="14"/>
      <c r="G514" s="14"/>
      <c r="I514" s="29"/>
    </row>
    <row r="515" spans="5:9" ht="18" customHeight="1">
      <c r="E515" s="14"/>
      <c r="G515" s="14"/>
      <c r="I515" s="29"/>
    </row>
    <row r="516" spans="5:9" ht="18" customHeight="1">
      <c r="E516" s="14"/>
      <c r="G516" s="14"/>
      <c r="I516" s="29"/>
    </row>
    <row r="517" spans="5:9" ht="18" customHeight="1">
      <c r="E517" s="14"/>
      <c r="G517" s="14"/>
      <c r="I517" s="29"/>
    </row>
    <row r="518" spans="5:9" ht="18" customHeight="1">
      <c r="E518" s="14"/>
      <c r="G518" s="14"/>
      <c r="I518" s="29"/>
    </row>
    <row r="519" spans="5:9" ht="18" customHeight="1">
      <c r="E519" s="14"/>
      <c r="G519" s="14"/>
      <c r="I519" s="29"/>
    </row>
    <row r="520" spans="5:9" ht="18" customHeight="1">
      <c r="E520" s="14"/>
      <c r="G520" s="14"/>
      <c r="I520" s="29"/>
    </row>
    <row r="521" spans="5:9" ht="18" customHeight="1">
      <c r="E521" s="14"/>
      <c r="G521" s="14"/>
      <c r="I521" s="29"/>
    </row>
    <row r="522" spans="5:9" ht="18" customHeight="1">
      <c r="E522" s="14"/>
      <c r="G522" s="14"/>
      <c r="I522" s="29"/>
    </row>
    <row r="523" spans="5:9" ht="18" customHeight="1">
      <c r="E523" s="14"/>
      <c r="G523" s="14"/>
      <c r="I523" s="29"/>
    </row>
    <row r="524" spans="5:9" ht="18" customHeight="1">
      <c r="E524" s="14"/>
      <c r="G524" s="14"/>
      <c r="I524" s="29"/>
    </row>
    <row r="525" spans="5:9" ht="18" customHeight="1">
      <c r="E525" s="14"/>
      <c r="G525" s="14"/>
      <c r="I525" s="29"/>
    </row>
    <row r="526" spans="5:9" ht="18" customHeight="1">
      <c r="E526" s="14"/>
      <c r="G526" s="14"/>
      <c r="I526" s="29"/>
    </row>
    <row r="527" spans="5:9" ht="18" customHeight="1">
      <c r="E527" s="14"/>
      <c r="G527" s="14"/>
      <c r="I527" s="29"/>
    </row>
    <row r="528" spans="5:9" ht="18" customHeight="1">
      <c r="E528" s="14"/>
      <c r="G528" s="14"/>
      <c r="I528" s="29"/>
    </row>
    <row r="529" spans="5:9" ht="18" customHeight="1">
      <c r="E529" s="14"/>
      <c r="G529" s="14"/>
      <c r="I529" s="29"/>
    </row>
    <row r="530" spans="5:9" ht="18" customHeight="1">
      <c r="E530" s="14"/>
      <c r="G530" s="14"/>
      <c r="I530" s="29"/>
    </row>
    <row r="531" spans="5:9" ht="18" customHeight="1">
      <c r="E531" s="14"/>
      <c r="G531" s="14"/>
      <c r="I531" s="29"/>
    </row>
    <row r="532" spans="5:9" ht="18" customHeight="1">
      <c r="E532" s="14"/>
      <c r="G532" s="14"/>
      <c r="I532" s="29"/>
    </row>
    <row r="533" spans="5:9" ht="18" customHeight="1">
      <c r="E533" s="14"/>
      <c r="G533" s="14"/>
      <c r="I533" s="29"/>
    </row>
    <row r="534" spans="5:9" ht="18" customHeight="1">
      <c r="E534" s="14"/>
      <c r="G534" s="14"/>
      <c r="I534" s="29"/>
    </row>
    <row r="535" spans="5:9" ht="18" customHeight="1">
      <c r="E535" s="14"/>
      <c r="G535" s="14"/>
      <c r="I535" s="29"/>
    </row>
    <row r="536" spans="5:9" ht="18" customHeight="1">
      <c r="E536" s="14"/>
      <c r="G536" s="14"/>
      <c r="I536" s="29"/>
    </row>
    <row r="537" spans="5:9" ht="18" customHeight="1">
      <c r="E537" s="14"/>
      <c r="G537" s="14"/>
      <c r="I537" s="29"/>
    </row>
    <row r="538" spans="5:9" ht="18" customHeight="1">
      <c r="E538" s="14"/>
      <c r="G538" s="14"/>
      <c r="I538" s="29"/>
    </row>
    <row r="539" spans="5:9" ht="18" customHeight="1">
      <c r="E539" s="14"/>
      <c r="G539" s="14"/>
      <c r="I539" s="29"/>
    </row>
    <row r="540" spans="5:9" ht="18" customHeight="1">
      <c r="E540" s="14"/>
      <c r="G540" s="14"/>
      <c r="I540" s="29"/>
    </row>
    <row r="541" spans="5:9" ht="18" customHeight="1">
      <c r="E541" s="14"/>
      <c r="G541" s="14"/>
      <c r="I541" s="29"/>
    </row>
    <row r="542" spans="5:9" ht="18" customHeight="1">
      <c r="E542" s="14"/>
      <c r="G542" s="14"/>
      <c r="I542" s="29"/>
    </row>
    <row r="543" spans="5:9" ht="18" customHeight="1">
      <c r="E543" s="14"/>
      <c r="G543" s="14"/>
      <c r="I543" s="29"/>
    </row>
    <row r="544" spans="5:9" ht="18" customHeight="1">
      <c r="E544" s="14"/>
      <c r="G544" s="14"/>
      <c r="I544" s="29"/>
    </row>
    <row r="545" spans="5:9" ht="18" customHeight="1">
      <c r="E545" s="14"/>
      <c r="G545" s="14"/>
      <c r="I545" s="29"/>
    </row>
    <row r="546" spans="5:9" ht="18" customHeight="1">
      <c r="E546" s="14"/>
      <c r="G546" s="14"/>
      <c r="I546" s="29"/>
    </row>
    <row r="547" spans="5:9" ht="18" customHeight="1">
      <c r="E547" s="14"/>
      <c r="G547" s="14"/>
      <c r="I547" s="29"/>
    </row>
    <row r="548" spans="5:9" ht="18" customHeight="1">
      <c r="E548" s="14"/>
      <c r="G548" s="14"/>
      <c r="I548" s="29"/>
    </row>
    <row r="549" spans="5:9" ht="18" customHeight="1">
      <c r="E549" s="14"/>
      <c r="G549" s="14"/>
      <c r="I549" s="29"/>
    </row>
    <row r="550" spans="5:9" ht="18" customHeight="1">
      <c r="E550" s="14"/>
      <c r="G550" s="14"/>
      <c r="I550" s="29"/>
    </row>
    <row r="551" spans="5:9" ht="18" customHeight="1">
      <c r="E551" s="14"/>
      <c r="G551" s="14"/>
      <c r="I551" s="29"/>
    </row>
    <row r="552" spans="5:9" ht="18" customHeight="1">
      <c r="E552" s="14"/>
      <c r="G552" s="14"/>
      <c r="I552" s="29"/>
    </row>
    <row r="553" spans="5:9" ht="18" customHeight="1">
      <c r="E553" s="14"/>
      <c r="G553" s="14"/>
      <c r="I553" s="29"/>
    </row>
    <row r="554" spans="5:9" ht="18" customHeight="1">
      <c r="E554" s="14"/>
      <c r="G554" s="14"/>
      <c r="I554" s="29"/>
    </row>
    <row r="555" spans="5:9" ht="18" customHeight="1">
      <c r="E555" s="14"/>
      <c r="G555" s="14"/>
      <c r="I555" s="29"/>
    </row>
    <row r="556" spans="5:9" ht="18" customHeight="1">
      <c r="E556" s="14"/>
      <c r="G556" s="14"/>
      <c r="I556" s="29"/>
    </row>
    <row r="557" spans="5:9" ht="18" customHeight="1">
      <c r="E557" s="14"/>
      <c r="G557" s="14"/>
      <c r="I557" s="29"/>
    </row>
    <row r="558" spans="5:9" ht="18" customHeight="1">
      <c r="E558" s="14"/>
      <c r="G558" s="14"/>
      <c r="I558" s="29"/>
    </row>
    <row r="559" spans="5:9" ht="18" customHeight="1">
      <c r="E559" s="14"/>
      <c r="G559" s="14"/>
      <c r="I559" s="29"/>
    </row>
    <row r="560" spans="5:9" ht="18" customHeight="1">
      <c r="E560" s="14"/>
      <c r="G560" s="14"/>
      <c r="I560" s="29"/>
    </row>
    <row r="561" spans="5:9" ht="18" customHeight="1">
      <c r="E561" s="14"/>
      <c r="G561" s="14"/>
      <c r="I561" s="29"/>
    </row>
    <row r="562" spans="5:9" ht="18" customHeight="1">
      <c r="E562" s="14"/>
      <c r="G562" s="14"/>
      <c r="I562" s="29"/>
    </row>
    <row r="563" spans="5:9" ht="18" customHeight="1">
      <c r="E563" s="14"/>
      <c r="G563" s="14"/>
      <c r="I563" s="29"/>
    </row>
    <row r="564" spans="5:9" ht="18" customHeight="1">
      <c r="E564" s="14"/>
      <c r="G564" s="14"/>
      <c r="I564" s="29"/>
    </row>
    <row r="565" spans="5:9" ht="18" customHeight="1">
      <c r="E565" s="14"/>
      <c r="G565" s="14"/>
      <c r="I565" s="29"/>
    </row>
    <row r="566" spans="5:9" ht="18" customHeight="1">
      <c r="E566" s="14"/>
      <c r="G566" s="14"/>
      <c r="I566" s="29"/>
    </row>
    <row r="567" spans="5:9" ht="18" customHeight="1">
      <c r="E567" s="14"/>
      <c r="G567" s="14"/>
      <c r="I567" s="29"/>
    </row>
    <row r="568" spans="5:9" ht="18" customHeight="1">
      <c r="E568" s="14"/>
      <c r="G568" s="14"/>
      <c r="I568" s="29"/>
    </row>
    <row r="569" spans="5:9" ht="18" customHeight="1">
      <c r="E569" s="14"/>
      <c r="G569" s="14"/>
      <c r="I569" s="29"/>
    </row>
    <row r="570" spans="5:9" ht="18" customHeight="1">
      <c r="E570" s="14"/>
      <c r="G570" s="14"/>
      <c r="I570" s="29"/>
    </row>
    <row r="571" spans="5:9" ht="18" customHeight="1">
      <c r="E571" s="14"/>
      <c r="G571" s="14"/>
      <c r="I571" s="29"/>
    </row>
    <row r="572" spans="5:9" ht="18" customHeight="1">
      <c r="E572" s="14"/>
      <c r="G572" s="14"/>
      <c r="I572" s="29"/>
    </row>
    <row r="573" spans="5:9" ht="18" customHeight="1">
      <c r="E573" s="14"/>
      <c r="G573" s="14"/>
      <c r="I573" s="29"/>
    </row>
    <row r="574" spans="5:9" ht="18" customHeight="1">
      <c r="E574" s="14"/>
      <c r="G574" s="14"/>
      <c r="I574" s="29"/>
    </row>
    <row r="575" spans="5:9" ht="18" customHeight="1">
      <c r="E575" s="14"/>
      <c r="G575" s="14"/>
      <c r="I575" s="29"/>
    </row>
    <row r="576" spans="5:9" ht="18" customHeight="1">
      <c r="E576" s="14"/>
      <c r="G576" s="14"/>
      <c r="I576" s="29"/>
    </row>
    <row r="577" spans="5:9" ht="18" customHeight="1">
      <c r="E577" s="14"/>
      <c r="G577" s="14"/>
      <c r="I577" s="29"/>
    </row>
    <row r="578" spans="5:9" ht="18" customHeight="1">
      <c r="E578" s="14"/>
      <c r="G578" s="14"/>
      <c r="I578" s="29"/>
    </row>
    <row r="579" spans="5:9" ht="18" customHeight="1">
      <c r="E579" s="14"/>
      <c r="G579" s="14"/>
      <c r="I579" s="29"/>
    </row>
    <row r="580" spans="5:9" ht="18" customHeight="1">
      <c r="E580" s="14"/>
      <c r="G580" s="14"/>
      <c r="I580" s="29"/>
    </row>
    <row r="581" spans="5:9" ht="18" customHeight="1">
      <c r="E581" s="14"/>
      <c r="G581" s="14"/>
      <c r="I581" s="29"/>
    </row>
    <row r="582" spans="5:9" ht="18" customHeight="1">
      <c r="E582" s="14"/>
      <c r="G582" s="14"/>
      <c r="I582" s="29"/>
    </row>
    <row r="583" spans="5:9" ht="18" customHeight="1">
      <c r="E583" s="14"/>
      <c r="G583" s="14"/>
      <c r="I583" s="29"/>
    </row>
    <row r="584" spans="5:9" ht="18" customHeight="1">
      <c r="E584" s="14"/>
      <c r="G584" s="14"/>
      <c r="I584" s="29"/>
    </row>
    <row r="585" spans="5:9" ht="18" customHeight="1">
      <c r="E585" s="14"/>
      <c r="G585" s="14"/>
      <c r="I585" s="29"/>
    </row>
    <row r="586" spans="5:9" ht="18" customHeight="1">
      <c r="E586" s="14"/>
      <c r="G586" s="14"/>
      <c r="I586" s="29"/>
    </row>
    <row r="587" spans="5:9" ht="18" customHeight="1">
      <c r="E587" s="14"/>
      <c r="G587" s="14"/>
      <c r="I587" s="29"/>
    </row>
    <row r="588" spans="5:9" ht="18" customHeight="1">
      <c r="E588" s="14"/>
      <c r="G588" s="14"/>
      <c r="I588" s="29"/>
    </row>
    <row r="589" spans="5:9" ht="18" customHeight="1">
      <c r="E589" s="14"/>
      <c r="G589" s="14"/>
      <c r="I589" s="29"/>
    </row>
    <row r="590" spans="5:9" ht="18" customHeight="1">
      <c r="E590" s="14"/>
      <c r="G590" s="14"/>
      <c r="I590" s="29"/>
    </row>
    <row r="591" spans="5:9" ht="18" customHeight="1">
      <c r="E591" s="14"/>
      <c r="G591" s="14"/>
      <c r="I591" s="29"/>
    </row>
    <row r="592" spans="5:9" ht="18" customHeight="1">
      <c r="E592" s="14"/>
      <c r="G592" s="14"/>
      <c r="I592" s="29"/>
    </row>
    <row r="593" spans="5:9" ht="18" customHeight="1">
      <c r="E593" s="14"/>
      <c r="G593" s="14"/>
      <c r="I593" s="29"/>
    </row>
    <row r="594" spans="5:9" ht="18" customHeight="1">
      <c r="E594" s="14"/>
      <c r="G594" s="14"/>
      <c r="I594" s="29"/>
    </row>
    <row r="595" spans="5:9" ht="18" customHeight="1">
      <c r="E595" s="14"/>
      <c r="G595" s="14"/>
      <c r="I595" s="29"/>
    </row>
    <row r="596" spans="5:9" ht="18" customHeight="1">
      <c r="E596" s="14"/>
      <c r="G596" s="14"/>
      <c r="I596" s="29"/>
    </row>
    <row r="597" spans="5:9" ht="18" customHeight="1">
      <c r="E597" s="14"/>
      <c r="G597" s="14"/>
      <c r="I597" s="29"/>
    </row>
    <row r="598" spans="5:9" ht="18" customHeight="1">
      <c r="E598" s="14"/>
      <c r="G598" s="14"/>
      <c r="I598" s="29"/>
    </row>
    <row r="599" spans="5:9" ht="18" customHeight="1">
      <c r="E599" s="14"/>
      <c r="G599" s="14"/>
      <c r="I599" s="29"/>
    </row>
    <row r="600" spans="5:9" ht="18" customHeight="1">
      <c r="E600" s="14"/>
      <c r="G600" s="14"/>
      <c r="I600" s="29"/>
    </row>
    <row r="601" spans="5:9" ht="18" customHeight="1">
      <c r="E601" s="14"/>
      <c r="G601" s="14"/>
      <c r="I601" s="29"/>
    </row>
    <row r="602" spans="5:9" ht="18" customHeight="1">
      <c r="E602" s="14"/>
      <c r="G602" s="14"/>
      <c r="I602" s="29"/>
    </row>
    <row r="603" spans="5:9" ht="18" customHeight="1">
      <c r="E603" s="14"/>
      <c r="G603" s="14"/>
      <c r="I603" s="29"/>
    </row>
    <row r="604" spans="5:9" ht="18" customHeight="1">
      <c r="E604" s="14"/>
      <c r="G604" s="14"/>
      <c r="I604" s="29"/>
    </row>
    <row r="605" spans="5:9" ht="18" customHeight="1">
      <c r="E605" s="14"/>
      <c r="G605" s="14"/>
      <c r="I605" s="29"/>
    </row>
    <row r="606" spans="5:9" ht="18" customHeight="1">
      <c r="E606" s="14"/>
      <c r="G606" s="14"/>
      <c r="I606" s="29"/>
    </row>
    <row r="607" spans="5:9" ht="18" customHeight="1">
      <c r="E607" s="14"/>
      <c r="G607" s="14"/>
      <c r="I607" s="29"/>
    </row>
    <row r="608" spans="5:9" ht="18" customHeight="1">
      <c r="E608" s="14"/>
      <c r="G608" s="14"/>
      <c r="I608" s="29"/>
    </row>
    <row r="609" spans="5:9" ht="18" customHeight="1">
      <c r="E609" s="14"/>
      <c r="G609" s="14"/>
      <c r="I609" s="29"/>
    </row>
    <row r="610" spans="5:9" ht="18" customHeight="1">
      <c r="E610" s="14"/>
      <c r="G610" s="14"/>
      <c r="I610" s="29"/>
    </row>
    <row r="611" spans="5:9" ht="18" customHeight="1">
      <c r="E611" s="14"/>
      <c r="G611" s="14"/>
      <c r="I611" s="29"/>
    </row>
    <row r="612" spans="5:9" ht="18" customHeight="1">
      <c r="E612" s="14"/>
      <c r="G612" s="14"/>
      <c r="I612" s="29"/>
    </row>
    <row r="613" spans="5:9" ht="18" customHeight="1">
      <c r="E613" s="14"/>
      <c r="G613" s="14"/>
      <c r="I613" s="29"/>
    </row>
    <row r="614" spans="5:9" ht="18" customHeight="1">
      <c r="E614" s="14"/>
      <c r="G614" s="14"/>
      <c r="I614" s="29"/>
    </row>
    <row r="615" spans="5:9" ht="18" customHeight="1">
      <c r="E615" s="14"/>
      <c r="G615" s="14"/>
      <c r="I615" s="29"/>
    </row>
    <row r="616" spans="5:9" ht="18" customHeight="1">
      <c r="E616" s="14"/>
      <c r="G616" s="14"/>
      <c r="I616" s="29"/>
    </row>
    <row r="617" spans="5:9" ht="18" customHeight="1">
      <c r="E617" s="14"/>
      <c r="G617" s="14"/>
      <c r="I617" s="29"/>
    </row>
    <row r="618" spans="5:9" ht="18" customHeight="1">
      <c r="E618" s="14"/>
      <c r="G618" s="14"/>
      <c r="I618" s="29"/>
    </row>
    <row r="619" spans="5:9" ht="18" customHeight="1">
      <c r="E619" s="14"/>
      <c r="G619" s="14"/>
      <c r="I619" s="29"/>
    </row>
    <row r="620" spans="5:9" ht="18" customHeight="1">
      <c r="E620" s="14"/>
      <c r="G620" s="14"/>
      <c r="I620" s="29"/>
    </row>
    <row r="621" spans="5:9" ht="18" customHeight="1">
      <c r="E621" s="14"/>
      <c r="G621" s="14"/>
      <c r="I621" s="29"/>
    </row>
    <row r="622" spans="5:9" ht="18" customHeight="1">
      <c r="E622" s="14"/>
      <c r="G622" s="14"/>
      <c r="I622" s="29"/>
    </row>
    <row r="623" spans="5:9" ht="18" customHeight="1">
      <c r="E623" s="14"/>
      <c r="G623" s="14"/>
      <c r="I623" s="29"/>
    </row>
    <row r="624" spans="5:9" ht="18" customHeight="1">
      <c r="E624" s="14"/>
      <c r="G624" s="14"/>
      <c r="I624" s="29"/>
    </row>
    <row r="625" spans="5:9" ht="18" customHeight="1">
      <c r="E625" s="14"/>
      <c r="G625" s="14"/>
      <c r="I625" s="29"/>
    </row>
    <row r="626" spans="5:9" ht="18" customHeight="1">
      <c r="E626" s="14"/>
      <c r="G626" s="14"/>
      <c r="I626" s="29"/>
    </row>
    <row r="627" spans="5:9" ht="18" customHeight="1">
      <c r="E627" s="14"/>
      <c r="G627" s="14"/>
      <c r="I627" s="29"/>
    </row>
    <row r="628" spans="5:9" ht="18" customHeight="1">
      <c r="E628" s="14"/>
      <c r="G628" s="14"/>
      <c r="I628" s="29"/>
    </row>
    <row r="629" spans="5:9" ht="18" customHeight="1">
      <c r="E629" s="14"/>
      <c r="G629" s="14"/>
      <c r="I629" s="29"/>
    </row>
    <row r="630" spans="5:9" ht="18" customHeight="1">
      <c r="E630" s="14"/>
      <c r="G630" s="14"/>
      <c r="I630" s="29"/>
    </row>
    <row r="631" spans="5:9" ht="18" customHeight="1">
      <c r="E631" s="14"/>
      <c r="G631" s="14"/>
      <c r="I631" s="29"/>
    </row>
    <row r="632" spans="5:9" ht="18" customHeight="1">
      <c r="E632" s="14"/>
      <c r="G632" s="14"/>
      <c r="I632" s="29"/>
    </row>
    <row r="633" spans="5:9" ht="18" customHeight="1">
      <c r="E633" s="14"/>
      <c r="G633" s="14"/>
      <c r="I633" s="29"/>
    </row>
    <row r="634" spans="5:9" ht="18" customHeight="1">
      <c r="E634" s="14"/>
      <c r="G634" s="14"/>
      <c r="I634" s="29"/>
    </row>
    <row r="635" spans="5:9" ht="18" customHeight="1">
      <c r="E635" s="14"/>
      <c r="G635" s="14"/>
      <c r="I635" s="29"/>
    </row>
    <row r="636" spans="5:9" ht="18" customHeight="1">
      <c r="E636" s="14"/>
      <c r="G636" s="14"/>
      <c r="I636" s="29"/>
    </row>
    <row r="637" spans="5:9" ht="18" customHeight="1">
      <c r="E637" s="14"/>
      <c r="G637" s="14"/>
      <c r="I637" s="29"/>
    </row>
    <row r="638" spans="5:9" ht="18" customHeight="1">
      <c r="E638" s="14"/>
      <c r="G638" s="14"/>
      <c r="I638" s="29"/>
    </row>
    <row r="639" spans="5:9" ht="18" customHeight="1">
      <c r="E639" s="14"/>
      <c r="G639" s="14"/>
      <c r="I639" s="29"/>
    </row>
    <row r="640" spans="5:9" ht="18" customHeight="1">
      <c r="E640" s="14"/>
      <c r="G640" s="14"/>
      <c r="I640" s="29"/>
    </row>
    <row r="641" spans="5:9" ht="18" customHeight="1">
      <c r="E641" s="14"/>
      <c r="G641" s="14"/>
      <c r="I641" s="29"/>
    </row>
    <row r="642" spans="5:9" ht="18" customHeight="1">
      <c r="E642" s="14"/>
      <c r="G642" s="14"/>
      <c r="I642" s="29"/>
    </row>
    <row r="643" spans="5:9" ht="18" customHeight="1">
      <c r="E643" s="14"/>
      <c r="G643" s="14"/>
      <c r="I643" s="29"/>
    </row>
    <row r="644" spans="5:9" ht="18" customHeight="1">
      <c r="E644" s="14"/>
      <c r="G644" s="14"/>
      <c r="I644" s="29"/>
    </row>
    <row r="645" spans="5:9" ht="18" customHeight="1">
      <c r="E645" s="14"/>
      <c r="G645" s="14"/>
      <c r="I645" s="29"/>
    </row>
    <row r="646" spans="5:9" ht="18" customHeight="1">
      <c r="E646" s="14"/>
      <c r="G646" s="14"/>
      <c r="I646" s="29"/>
    </row>
    <row r="647" spans="5:9" ht="18" customHeight="1">
      <c r="E647" s="14"/>
      <c r="G647" s="14"/>
      <c r="I647" s="29"/>
    </row>
    <row r="648" spans="5:9" ht="18" customHeight="1">
      <c r="E648" s="14"/>
      <c r="G648" s="14"/>
      <c r="I648" s="29"/>
    </row>
    <row r="649" spans="5:9" ht="18" customHeight="1">
      <c r="E649" s="14"/>
      <c r="G649" s="14"/>
      <c r="I649" s="29"/>
    </row>
    <row r="650" spans="5:9" ht="18" customHeight="1">
      <c r="E650" s="14"/>
      <c r="G650" s="14"/>
      <c r="I650" s="29"/>
    </row>
    <row r="651" spans="5:9" ht="18" customHeight="1">
      <c r="E651" s="14"/>
      <c r="G651" s="14"/>
      <c r="I651" s="29"/>
    </row>
    <row r="652" spans="5:9" ht="18" customHeight="1">
      <c r="E652" s="14"/>
      <c r="G652" s="14"/>
      <c r="I652" s="29"/>
    </row>
    <row r="653" spans="5:9" ht="18" customHeight="1">
      <c r="E653" s="14"/>
      <c r="G653" s="14"/>
      <c r="I653" s="29"/>
    </row>
    <row r="654" spans="5:9" ht="18" customHeight="1">
      <c r="E654" s="14"/>
      <c r="G654" s="14"/>
      <c r="I654" s="29"/>
    </row>
    <row r="655" spans="5:9" ht="18" customHeight="1">
      <c r="E655" s="14"/>
      <c r="G655" s="14"/>
      <c r="I655" s="29"/>
    </row>
    <row r="656" spans="5:9" ht="18" customHeight="1">
      <c r="E656" s="14"/>
      <c r="G656" s="14"/>
      <c r="I656" s="29"/>
    </row>
    <row r="657" spans="5:9" ht="18" customHeight="1">
      <c r="E657" s="14"/>
      <c r="G657" s="14"/>
      <c r="I657" s="29"/>
    </row>
    <row r="658" spans="5:9" ht="18" customHeight="1">
      <c r="E658" s="14"/>
      <c r="G658" s="14"/>
      <c r="I658" s="29"/>
    </row>
    <row r="659" spans="5:9" ht="18" customHeight="1">
      <c r="E659" s="14"/>
      <c r="G659" s="14"/>
      <c r="I659" s="29"/>
    </row>
    <row r="660" spans="5:9" ht="18" customHeight="1">
      <c r="E660" s="14"/>
      <c r="G660" s="14"/>
      <c r="I660" s="29"/>
    </row>
    <row r="661" spans="5:9" ht="18" customHeight="1">
      <c r="E661" s="14"/>
      <c r="G661" s="14"/>
      <c r="I661" s="29"/>
    </row>
    <row r="662" spans="5:9" ht="18" customHeight="1">
      <c r="E662" s="14"/>
      <c r="G662" s="14"/>
      <c r="I662" s="29"/>
    </row>
    <row r="663" spans="5:9" ht="18" customHeight="1">
      <c r="E663" s="14"/>
      <c r="G663" s="14"/>
      <c r="I663" s="29"/>
    </row>
    <row r="664" spans="5:9" ht="18" customHeight="1">
      <c r="E664" s="14"/>
      <c r="G664" s="14"/>
      <c r="I664" s="29"/>
    </row>
    <row r="665" spans="5:9" ht="18" customHeight="1">
      <c r="E665" s="14"/>
      <c r="G665" s="14"/>
      <c r="I665" s="29"/>
    </row>
    <row r="666" spans="5:9" ht="18" customHeight="1">
      <c r="E666" s="14"/>
      <c r="G666" s="14"/>
      <c r="I666" s="29"/>
    </row>
    <row r="667" spans="5:9" ht="18" customHeight="1">
      <c r="E667" s="14"/>
      <c r="G667" s="14"/>
      <c r="I667" s="29"/>
    </row>
    <row r="668" spans="5:9" ht="18" customHeight="1">
      <c r="E668" s="14"/>
      <c r="G668" s="14"/>
      <c r="I668" s="29"/>
    </row>
    <row r="669" spans="5:9" ht="18" customHeight="1">
      <c r="E669" s="14"/>
      <c r="G669" s="14"/>
      <c r="I669" s="29"/>
    </row>
    <row r="670" spans="5:9" ht="18" customHeight="1">
      <c r="E670" s="14"/>
      <c r="G670" s="14"/>
      <c r="I670" s="29"/>
    </row>
    <row r="671" spans="5:9" ht="18" customHeight="1">
      <c r="E671" s="14"/>
      <c r="G671" s="14"/>
      <c r="I671" s="29"/>
    </row>
    <row r="672" spans="5:9" ht="18" customHeight="1">
      <c r="E672" s="14"/>
      <c r="G672" s="14"/>
      <c r="I672" s="29"/>
    </row>
    <row r="673" spans="5:9" ht="18" customHeight="1">
      <c r="E673" s="14"/>
      <c r="G673" s="14"/>
      <c r="I673" s="29"/>
    </row>
    <row r="674" spans="5:9" ht="18" customHeight="1">
      <c r="E674" s="14"/>
      <c r="G674" s="14"/>
      <c r="I674" s="29"/>
    </row>
    <row r="675" spans="5:9" ht="18" customHeight="1">
      <c r="E675" s="14"/>
      <c r="G675" s="14"/>
      <c r="I675" s="29"/>
    </row>
    <row r="676" spans="5:9" ht="18" customHeight="1">
      <c r="E676" s="14"/>
      <c r="G676" s="14"/>
      <c r="I676" s="29"/>
    </row>
    <row r="677" spans="5:9" ht="18" customHeight="1">
      <c r="E677" s="14"/>
      <c r="G677" s="14"/>
      <c r="I677" s="29"/>
    </row>
    <row r="678" spans="5:9" ht="18" customHeight="1">
      <c r="E678" s="14"/>
      <c r="G678" s="14"/>
      <c r="I678" s="29"/>
    </row>
    <row r="679" spans="5:9" ht="18" customHeight="1">
      <c r="E679" s="14"/>
      <c r="G679" s="14"/>
      <c r="I679" s="29"/>
    </row>
    <row r="680" spans="5:9" ht="18" customHeight="1">
      <c r="E680" s="14"/>
      <c r="G680" s="14"/>
      <c r="I680" s="29"/>
    </row>
    <row r="681" spans="5:9" ht="18" customHeight="1">
      <c r="E681" s="14"/>
      <c r="G681" s="14"/>
      <c r="I681" s="29"/>
    </row>
    <row r="682" spans="5:9" ht="18" customHeight="1">
      <c r="E682" s="14"/>
      <c r="G682" s="14"/>
      <c r="I682" s="29"/>
    </row>
    <row r="683" spans="5:9" ht="18" customHeight="1">
      <c r="E683" s="14"/>
      <c r="G683" s="14"/>
      <c r="I683" s="29"/>
    </row>
    <row r="684" spans="5:9" ht="18" customHeight="1">
      <c r="E684" s="14"/>
      <c r="G684" s="14"/>
      <c r="I684" s="29"/>
    </row>
    <row r="685" spans="5:9" ht="18" customHeight="1">
      <c r="E685" s="14"/>
      <c r="G685" s="14"/>
      <c r="I685" s="29"/>
    </row>
    <row r="686" spans="5:9" ht="18" customHeight="1">
      <c r="E686" s="14"/>
      <c r="G686" s="14"/>
      <c r="I686" s="29"/>
    </row>
    <row r="687" spans="5:9" ht="18" customHeight="1">
      <c r="E687" s="14"/>
      <c r="G687" s="14"/>
      <c r="I687" s="29"/>
    </row>
    <row r="688" spans="5:9" ht="18" customHeight="1">
      <c r="E688" s="14"/>
      <c r="G688" s="14"/>
      <c r="I688" s="29"/>
    </row>
    <row r="689" spans="5:9" ht="18" customHeight="1">
      <c r="E689" s="14"/>
      <c r="G689" s="14"/>
      <c r="I689" s="29"/>
    </row>
    <row r="690" spans="5:9" ht="18" customHeight="1">
      <c r="E690" s="14"/>
      <c r="G690" s="14"/>
      <c r="I690" s="29"/>
    </row>
    <row r="691" spans="5:9" ht="18" customHeight="1">
      <c r="E691" s="14"/>
      <c r="G691" s="14"/>
      <c r="I691" s="29"/>
    </row>
    <row r="692" spans="5:9" ht="18" customHeight="1">
      <c r="E692" s="14"/>
      <c r="G692" s="14"/>
      <c r="I692" s="29"/>
    </row>
    <row r="693" spans="5:9" ht="18" customHeight="1">
      <c r="E693" s="14"/>
      <c r="G693" s="14"/>
      <c r="I693" s="29"/>
    </row>
    <row r="694" spans="5:9" ht="18" customHeight="1">
      <c r="E694" s="14"/>
      <c r="G694" s="14"/>
      <c r="I694" s="29"/>
    </row>
    <row r="695" spans="5:9" ht="18" customHeight="1">
      <c r="E695" s="14"/>
      <c r="G695" s="14"/>
      <c r="I695" s="29"/>
    </row>
    <row r="696" spans="5:9" ht="18" customHeight="1">
      <c r="E696" s="14"/>
      <c r="G696" s="14"/>
      <c r="I696" s="29"/>
    </row>
    <row r="697" spans="5:9" ht="18" customHeight="1">
      <c r="E697" s="14"/>
      <c r="G697" s="14"/>
      <c r="I697" s="29"/>
    </row>
    <row r="698" spans="5:9" ht="18" customHeight="1">
      <c r="E698" s="14"/>
      <c r="G698" s="14"/>
      <c r="I698" s="29"/>
    </row>
    <row r="699" spans="5:9" ht="18" customHeight="1">
      <c r="E699" s="14"/>
      <c r="G699" s="14"/>
      <c r="I699" s="29"/>
    </row>
    <row r="700" spans="5:9" ht="18" customHeight="1">
      <c r="E700" s="14"/>
      <c r="G700" s="14"/>
      <c r="I700" s="29"/>
    </row>
    <row r="701" spans="5:9" ht="18" customHeight="1">
      <c r="E701" s="14"/>
      <c r="G701" s="14"/>
      <c r="I701" s="29"/>
    </row>
    <row r="702" spans="5:9" ht="18" customHeight="1">
      <c r="E702" s="14"/>
      <c r="G702" s="14"/>
      <c r="I702" s="29"/>
    </row>
    <row r="703" spans="5:9" ht="18" customHeight="1">
      <c r="E703" s="14"/>
      <c r="G703" s="14"/>
      <c r="I703" s="29"/>
    </row>
    <row r="704" spans="5:9" ht="18" customHeight="1">
      <c r="E704" s="14"/>
      <c r="G704" s="14"/>
      <c r="I704" s="29"/>
    </row>
    <row r="705" spans="5:9" ht="18" customHeight="1">
      <c r="E705" s="14"/>
      <c r="G705" s="14"/>
      <c r="I705" s="29"/>
    </row>
    <row r="706" spans="5:9" ht="18" customHeight="1">
      <c r="E706" s="14"/>
      <c r="G706" s="14"/>
      <c r="I706" s="29"/>
    </row>
    <row r="707" spans="5:9" ht="18" customHeight="1">
      <c r="E707" s="14"/>
      <c r="G707" s="14"/>
      <c r="I707" s="29"/>
    </row>
    <row r="708" spans="5:9" ht="18" customHeight="1">
      <c r="E708" s="14"/>
      <c r="G708" s="14"/>
      <c r="I708" s="29"/>
    </row>
    <row r="709" spans="5:9" ht="18" customHeight="1">
      <c r="E709" s="14"/>
      <c r="G709" s="14"/>
      <c r="I709" s="29"/>
    </row>
    <row r="710" spans="5:9" ht="18" customHeight="1">
      <c r="E710" s="14"/>
      <c r="G710" s="14"/>
      <c r="I710" s="29"/>
    </row>
    <row r="711" spans="5:9" ht="18" customHeight="1">
      <c r="E711" s="14"/>
      <c r="G711" s="14"/>
      <c r="I711" s="29"/>
    </row>
    <row r="712" spans="5:9" ht="18" customHeight="1">
      <c r="E712" s="14"/>
      <c r="G712" s="14"/>
      <c r="I712" s="29"/>
    </row>
    <row r="713" spans="5:9" ht="18" customHeight="1">
      <c r="E713" s="14"/>
      <c r="G713" s="14"/>
      <c r="I713" s="29"/>
    </row>
    <row r="714" spans="5:9" ht="18" customHeight="1">
      <c r="E714" s="14"/>
      <c r="G714" s="14"/>
      <c r="I714" s="29"/>
    </row>
    <row r="715" spans="5:9" ht="18" customHeight="1">
      <c r="E715" s="14"/>
      <c r="G715" s="14"/>
      <c r="I715" s="29"/>
    </row>
    <row r="716" spans="5:9" ht="18" customHeight="1">
      <c r="E716" s="14"/>
      <c r="G716" s="14"/>
      <c r="I716" s="29"/>
    </row>
    <row r="717" spans="5:9" ht="18" customHeight="1">
      <c r="E717" s="14"/>
      <c r="G717" s="14"/>
      <c r="I717" s="29"/>
    </row>
    <row r="718" spans="5:9" ht="18" customHeight="1">
      <c r="E718" s="14"/>
      <c r="G718" s="14"/>
      <c r="I718" s="29"/>
    </row>
    <row r="719" spans="5:9" ht="18" customHeight="1">
      <c r="E719" s="14"/>
      <c r="G719" s="14"/>
      <c r="I719" s="29"/>
    </row>
    <row r="720" spans="5:9" ht="18" customHeight="1">
      <c r="E720" s="14"/>
      <c r="G720" s="14"/>
      <c r="I720" s="29"/>
    </row>
    <row r="721" spans="5:9" ht="18" customHeight="1">
      <c r="E721" s="14"/>
      <c r="G721" s="14"/>
      <c r="I721" s="29"/>
    </row>
    <row r="722" spans="5:9" ht="18" customHeight="1">
      <c r="E722" s="14"/>
      <c r="G722" s="14"/>
      <c r="I722" s="29"/>
    </row>
    <row r="723" spans="5:9" ht="18" customHeight="1">
      <c r="E723" s="14"/>
      <c r="G723" s="14"/>
      <c r="I723" s="29"/>
    </row>
    <row r="724" spans="5:9" ht="18" customHeight="1">
      <c r="E724" s="14"/>
      <c r="G724" s="14"/>
      <c r="I724" s="29"/>
    </row>
    <row r="725" spans="5:9" ht="18" customHeight="1">
      <c r="E725" s="14"/>
      <c r="G725" s="14"/>
      <c r="I725" s="29"/>
    </row>
    <row r="726" spans="5:9" ht="18" customHeight="1">
      <c r="E726" s="14"/>
      <c r="G726" s="14"/>
      <c r="I726" s="29"/>
    </row>
    <row r="727" spans="5:9" ht="18" customHeight="1">
      <c r="E727" s="14"/>
      <c r="G727" s="14"/>
      <c r="I727" s="29"/>
    </row>
    <row r="728" spans="5:9" ht="18" customHeight="1">
      <c r="E728" s="14"/>
      <c r="G728" s="14"/>
      <c r="I728" s="29"/>
    </row>
    <row r="729" spans="5:9" ht="18" customHeight="1">
      <c r="E729" s="14"/>
      <c r="G729" s="14"/>
      <c r="I729" s="29"/>
    </row>
    <row r="730" spans="5:9" ht="18" customHeight="1">
      <c r="E730" s="14"/>
      <c r="G730" s="14"/>
      <c r="I730" s="29"/>
    </row>
    <row r="731" spans="5:9" ht="18" customHeight="1">
      <c r="E731" s="14"/>
      <c r="G731" s="14"/>
      <c r="I731" s="29"/>
    </row>
    <row r="732" spans="5:9" ht="18" customHeight="1">
      <c r="E732" s="14"/>
      <c r="G732" s="14"/>
      <c r="I732" s="29"/>
    </row>
    <row r="733" spans="5:9" ht="18" customHeight="1">
      <c r="E733" s="14"/>
      <c r="G733" s="14"/>
      <c r="I733" s="29"/>
    </row>
    <row r="734" spans="5:9" ht="18" customHeight="1">
      <c r="E734" s="14"/>
      <c r="G734" s="14"/>
      <c r="I734" s="29"/>
    </row>
    <row r="735" spans="5:9" ht="18" customHeight="1">
      <c r="E735" s="14"/>
      <c r="G735" s="14"/>
      <c r="I735" s="29"/>
    </row>
    <row r="736" spans="5:9" ht="18" customHeight="1">
      <c r="E736" s="14"/>
      <c r="G736" s="14"/>
      <c r="I736" s="29"/>
    </row>
    <row r="737" spans="5:9" ht="18" customHeight="1">
      <c r="E737" s="14"/>
      <c r="G737" s="14"/>
      <c r="I737" s="29"/>
    </row>
    <row r="738" spans="5:9" ht="18" customHeight="1">
      <c r="E738" s="14"/>
      <c r="G738" s="14"/>
      <c r="I738" s="29"/>
    </row>
    <row r="739" spans="5:9" ht="18" customHeight="1">
      <c r="E739" s="14"/>
      <c r="G739" s="14"/>
      <c r="I739" s="29"/>
    </row>
    <row r="740" spans="5:9" ht="18" customHeight="1">
      <c r="E740" s="14"/>
      <c r="G740" s="14"/>
      <c r="I740" s="29"/>
    </row>
    <row r="741" spans="5:9" ht="18" customHeight="1">
      <c r="E741" s="14"/>
      <c r="G741" s="14"/>
      <c r="I741" s="29"/>
    </row>
    <row r="742" spans="5:9" ht="18" customHeight="1">
      <c r="E742" s="14"/>
      <c r="G742" s="14"/>
      <c r="I742" s="29"/>
    </row>
    <row r="743" spans="5:9" ht="18" customHeight="1">
      <c r="E743" s="14"/>
      <c r="G743" s="14"/>
      <c r="I743" s="29"/>
    </row>
    <row r="744" spans="5:9" ht="18" customHeight="1">
      <c r="E744" s="14"/>
      <c r="G744" s="14"/>
      <c r="I744" s="29"/>
    </row>
    <row r="745" spans="5:9" ht="18" customHeight="1">
      <c r="E745" s="14"/>
      <c r="G745" s="14"/>
      <c r="I745" s="29"/>
    </row>
    <row r="746" spans="5:9" ht="18" customHeight="1">
      <c r="E746" s="14"/>
      <c r="G746" s="14"/>
      <c r="I746" s="29"/>
    </row>
    <row r="747" spans="5:9" ht="18" customHeight="1">
      <c r="E747" s="14"/>
      <c r="G747" s="14"/>
      <c r="I747" s="29"/>
    </row>
    <row r="748" spans="5:9" ht="18" customHeight="1">
      <c r="E748" s="14"/>
      <c r="G748" s="14"/>
      <c r="I748" s="29"/>
    </row>
    <row r="749" spans="5:9" ht="18" customHeight="1">
      <c r="E749" s="14"/>
      <c r="G749" s="14"/>
      <c r="I749" s="29"/>
    </row>
    <row r="750" spans="5:9" ht="18" customHeight="1">
      <c r="E750" s="14"/>
      <c r="G750" s="14"/>
      <c r="I750" s="29"/>
    </row>
    <row r="751" spans="5:9" ht="18" customHeight="1">
      <c r="E751" s="14"/>
      <c r="G751" s="14"/>
      <c r="I751" s="29"/>
    </row>
    <row r="752" spans="5:9" ht="18" customHeight="1">
      <c r="E752" s="14"/>
      <c r="G752" s="14"/>
      <c r="I752" s="29"/>
    </row>
    <row r="753" spans="5:9" ht="18" customHeight="1">
      <c r="E753" s="14"/>
      <c r="G753" s="14"/>
      <c r="I753" s="29"/>
    </row>
    <row r="754" spans="5:9" ht="18" customHeight="1">
      <c r="E754" s="14"/>
      <c r="G754" s="14"/>
      <c r="I754" s="29"/>
    </row>
    <row r="755" spans="5:9" ht="18" customHeight="1">
      <c r="E755" s="14"/>
      <c r="G755" s="14"/>
      <c r="I755" s="29"/>
    </row>
    <row r="756" spans="5:9" ht="18" customHeight="1">
      <c r="E756" s="14"/>
      <c r="G756" s="14"/>
      <c r="I756" s="29"/>
    </row>
    <row r="757" spans="5:9" ht="18" customHeight="1">
      <c r="E757" s="14"/>
      <c r="G757" s="14"/>
      <c r="I757" s="29"/>
    </row>
    <row r="758" spans="5:9" ht="18" customHeight="1">
      <c r="E758" s="14"/>
      <c r="G758" s="14"/>
      <c r="I758" s="29"/>
    </row>
    <row r="759" spans="5:9" ht="18" customHeight="1">
      <c r="E759" s="14"/>
      <c r="G759" s="14"/>
      <c r="I759" s="29"/>
    </row>
    <row r="760" spans="5:9" ht="18" customHeight="1">
      <c r="E760" s="14"/>
      <c r="G760" s="14"/>
      <c r="I760" s="29"/>
    </row>
    <row r="761" spans="5:9" ht="18" customHeight="1">
      <c r="E761" s="14"/>
      <c r="G761" s="14"/>
      <c r="I761" s="29"/>
    </row>
    <row r="762" spans="5:9" ht="18" customHeight="1">
      <c r="E762" s="14"/>
      <c r="G762" s="14"/>
      <c r="I762" s="29"/>
    </row>
    <row r="763" spans="5:9" ht="18" customHeight="1">
      <c r="E763" s="14"/>
      <c r="G763" s="14"/>
      <c r="I763" s="29"/>
    </row>
    <row r="764" spans="5:9" ht="18" customHeight="1">
      <c r="E764" s="14"/>
      <c r="G764" s="14"/>
      <c r="I764" s="29"/>
    </row>
    <row r="765" spans="5:9" ht="18" customHeight="1">
      <c r="E765" s="14"/>
      <c r="G765" s="14"/>
      <c r="I765" s="29"/>
    </row>
    <row r="766" spans="5:9" ht="18" customHeight="1">
      <c r="E766" s="14"/>
      <c r="G766" s="14"/>
      <c r="I766" s="29"/>
    </row>
    <row r="767" spans="5:9" ht="18" customHeight="1">
      <c r="E767" s="14"/>
      <c r="G767" s="14"/>
      <c r="I767" s="29"/>
    </row>
    <row r="768" spans="5:9" ht="18" customHeight="1">
      <c r="E768" s="14"/>
      <c r="G768" s="14"/>
      <c r="I768" s="29"/>
    </row>
    <row r="769" spans="5:9" ht="18" customHeight="1">
      <c r="E769" s="14"/>
      <c r="G769" s="14"/>
      <c r="I769" s="29"/>
    </row>
    <row r="770" spans="5:9" ht="18" customHeight="1">
      <c r="E770" s="14"/>
      <c r="G770" s="14"/>
      <c r="I770" s="29"/>
    </row>
    <row r="771" spans="5:9" ht="18" customHeight="1">
      <c r="E771" s="14"/>
      <c r="G771" s="14"/>
      <c r="I771" s="29"/>
    </row>
    <row r="772" spans="5:9" ht="18" customHeight="1">
      <c r="E772" s="14"/>
      <c r="G772" s="14"/>
      <c r="I772" s="29"/>
    </row>
    <row r="773" spans="5:9" ht="18" customHeight="1">
      <c r="E773" s="14"/>
      <c r="G773" s="14"/>
      <c r="I773" s="29"/>
    </row>
    <row r="774" spans="5:9" ht="18" customHeight="1">
      <c r="E774" s="14"/>
      <c r="G774" s="14"/>
      <c r="I774" s="29"/>
    </row>
    <row r="775" spans="5:9" ht="18" customHeight="1">
      <c r="E775" s="14"/>
      <c r="G775" s="14"/>
      <c r="I775" s="29"/>
    </row>
    <row r="776" spans="5:9" ht="18" customHeight="1">
      <c r="E776" s="14"/>
      <c r="G776" s="14"/>
      <c r="I776" s="29"/>
    </row>
    <row r="777" spans="5:9" ht="18" customHeight="1">
      <c r="E777" s="14"/>
      <c r="G777" s="14"/>
      <c r="I777" s="29"/>
    </row>
    <row r="778" spans="5:9" ht="18" customHeight="1">
      <c r="E778" s="14"/>
      <c r="G778" s="14"/>
      <c r="I778" s="29"/>
    </row>
    <row r="779" spans="5:9" ht="18" customHeight="1">
      <c r="E779" s="14"/>
      <c r="G779" s="14"/>
      <c r="I779" s="29"/>
    </row>
    <row r="780" spans="5:9" ht="18" customHeight="1">
      <c r="E780" s="14"/>
      <c r="G780" s="14"/>
      <c r="I780" s="29"/>
    </row>
    <row r="781" spans="5:9" ht="18" customHeight="1">
      <c r="E781" s="14"/>
      <c r="G781" s="14"/>
      <c r="I781" s="29"/>
    </row>
    <row r="782" spans="5:9" ht="18" customHeight="1">
      <c r="E782" s="14"/>
      <c r="G782" s="14"/>
      <c r="I782" s="29"/>
    </row>
    <row r="783" spans="5:9" ht="18" customHeight="1">
      <c r="E783" s="14"/>
      <c r="G783" s="14"/>
      <c r="I783" s="29"/>
    </row>
    <row r="784" spans="5:9" ht="18" customHeight="1">
      <c r="E784" s="14"/>
      <c r="G784" s="14"/>
      <c r="I784" s="29"/>
    </row>
    <row r="785" spans="5:9" ht="18" customHeight="1">
      <c r="E785" s="14"/>
      <c r="G785" s="14"/>
      <c r="I785" s="29"/>
    </row>
    <row r="786" spans="5:9" ht="18" customHeight="1">
      <c r="E786" s="14"/>
      <c r="G786" s="14"/>
      <c r="I786" s="29"/>
    </row>
    <row r="787" spans="5:9" ht="18" customHeight="1">
      <c r="E787" s="14"/>
      <c r="G787" s="14"/>
      <c r="I787" s="29"/>
    </row>
    <row r="788" spans="5:9" ht="18" customHeight="1">
      <c r="E788" s="14"/>
      <c r="G788" s="14"/>
      <c r="I788" s="29"/>
    </row>
    <row r="789" spans="5:9" ht="18" customHeight="1">
      <c r="E789" s="14"/>
      <c r="G789" s="14"/>
      <c r="I789" s="29"/>
    </row>
    <row r="790" spans="5:9" ht="18" customHeight="1">
      <c r="E790" s="14"/>
      <c r="G790" s="14"/>
      <c r="I790" s="29"/>
    </row>
    <row r="791" spans="5:9" ht="18" customHeight="1">
      <c r="E791" s="14"/>
      <c r="G791" s="14"/>
      <c r="I791" s="29"/>
    </row>
    <row r="792" spans="5:9" ht="18" customHeight="1">
      <c r="E792" s="14"/>
      <c r="G792" s="14"/>
      <c r="I792" s="29"/>
    </row>
    <row r="793" spans="5:9" ht="18" customHeight="1">
      <c r="E793" s="14"/>
      <c r="G793" s="14"/>
      <c r="I793" s="29"/>
    </row>
    <row r="794" spans="5:9" ht="18" customHeight="1">
      <c r="E794" s="14"/>
      <c r="G794" s="14"/>
      <c r="I794" s="29"/>
    </row>
    <row r="795" spans="5:9" ht="18" customHeight="1">
      <c r="E795" s="14"/>
      <c r="G795" s="14"/>
      <c r="I795" s="29"/>
    </row>
    <row r="796" spans="5:9" ht="18" customHeight="1">
      <c r="E796" s="14"/>
      <c r="G796" s="14"/>
      <c r="I796" s="29"/>
    </row>
    <row r="797" spans="5:9" ht="18" customHeight="1">
      <c r="E797" s="14"/>
      <c r="G797" s="14"/>
      <c r="I797" s="29"/>
    </row>
    <row r="798" spans="5:9" ht="18" customHeight="1">
      <c r="E798" s="14"/>
      <c r="G798" s="14"/>
      <c r="I798" s="29"/>
    </row>
    <row r="799" spans="5:9" ht="18" customHeight="1">
      <c r="E799" s="14"/>
      <c r="G799" s="14"/>
      <c r="I799" s="29"/>
    </row>
    <row r="800" spans="5:9" ht="18" customHeight="1">
      <c r="E800" s="14"/>
      <c r="G800" s="14"/>
      <c r="I800" s="29"/>
    </row>
    <row r="801" spans="5:9" ht="18" customHeight="1">
      <c r="E801" s="14"/>
      <c r="G801" s="14"/>
      <c r="I801" s="29"/>
    </row>
    <row r="802" spans="5:9" ht="18" customHeight="1">
      <c r="E802" s="14"/>
      <c r="G802" s="14"/>
      <c r="I802" s="29"/>
    </row>
    <row r="803" spans="5:9" ht="18" customHeight="1">
      <c r="E803" s="14"/>
      <c r="G803" s="14"/>
      <c r="I803" s="29"/>
    </row>
    <row r="804" spans="5:9" ht="18" customHeight="1">
      <c r="E804" s="14"/>
      <c r="G804" s="14"/>
      <c r="I804" s="29"/>
    </row>
    <row r="805" spans="5:9" ht="18" customHeight="1">
      <c r="E805" s="14"/>
      <c r="G805" s="14"/>
      <c r="I805" s="29"/>
    </row>
    <row r="806" spans="5:9" ht="18" customHeight="1">
      <c r="E806" s="14"/>
      <c r="G806" s="14"/>
      <c r="I806" s="29"/>
    </row>
    <row r="807" spans="5:9" ht="18" customHeight="1">
      <c r="E807" s="14"/>
      <c r="G807" s="14"/>
      <c r="I807" s="29"/>
    </row>
    <row r="808" spans="5:9" ht="18" customHeight="1">
      <c r="E808" s="14"/>
      <c r="G808" s="14"/>
      <c r="I808" s="29"/>
    </row>
    <row r="809" spans="5:9" ht="18" customHeight="1">
      <c r="E809" s="14"/>
      <c r="G809" s="14"/>
      <c r="I809" s="29"/>
    </row>
    <row r="810" spans="5:9" ht="18" customHeight="1">
      <c r="E810" s="14"/>
      <c r="G810" s="14"/>
      <c r="I810" s="29"/>
    </row>
    <row r="811" spans="5:9" ht="18" customHeight="1">
      <c r="E811" s="14"/>
      <c r="G811" s="14"/>
      <c r="I811" s="29"/>
    </row>
    <row r="812" spans="5:9" ht="18" customHeight="1">
      <c r="E812" s="14"/>
      <c r="G812" s="14"/>
      <c r="I812" s="29"/>
    </row>
    <row r="813" spans="5:9" ht="18" customHeight="1">
      <c r="E813" s="14"/>
      <c r="G813" s="14"/>
      <c r="I813" s="29"/>
    </row>
    <row r="814" spans="5:9" ht="18" customHeight="1">
      <c r="E814" s="14"/>
      <c r="G814" s="14"/>
      <c r="I814" s="29"/>
    </row>
    <row r="815" spans="5:9" ht="18" customHeight="1">
      <c r="E815" s="14"/>
      <c r="G815" s="14"/>
      <c r="I815" s="29"/>
    </row>
    <row r="816" spans="5:9" ht="18" customHeight="1">
      <c r="E816" s="14"/>
      <c r="G816" s="14"/>
      <c r="I816" s="29"/>
    </row>
    <row r="817" spans="5:9" ht="18" customHeight="1">
      <c r="E817" s="14"/>
      <c r="G817" s="14"/>
      <c r="I817" s="29"/>
    </row>
    <row r="818" spans="5:9" ht="18" customHeight="1">
      <c r="E818" s="14"/>
      <c r="G818" s="14"/>
      <c r="I818" s="29"/>
    </row>
    <row r="819" spans="5:9" ht="18" customHeight="1">
      <c r="E819" s="14"/>
      <c r="G819" s="14"/>
      <c r="I819" s="29"/>
    </row>
    <row r="820" spans="5:9" ht="18" customHeight="1">
      <c r="E820" s="14"/>
      <c r="G820" s="14"/>
      <c r="I820" s="29"/>
    </row>
    <row r="821" spans="5:9" ht="18" customHeight="1">
      <c r="E821" s="14"/>
      <c r="G821" s="14"/>
      <c r="I821" s="29"/>
    </row>
    <row r="822" spans="5:9" ht="18" customHeight="1">
      <c r="E822" s="14"/>
      <c r="G822" s="14"/>
      <c r="I822" s="29"/>
    </row>
    <row r="823" spans="5:9" ht="18" customHeight="1">
      <c r="E823" s="14"/>
      <c r="G823" s="14"/>
      <c r="I823" s="29"/>
    </row>
    <row r="824" spans="5:9" ht="18" customHeight="1">
      <c r="E824" s="14"/>
      <c r="G824" s="14"/>
      <c r="I824" s="29"/>
    </row>
    <row r="825" spans="5:9" ht="18" customHeight="1">
      <c r="E825" s="14"/>
      <c r="G825" s="14"/>
      <c r="I825" s="29"/>
    </row>
    <row r="826" spans="5:9" ht="18" customHeight="1">
      <c r="E826" s="14"/>
      <c r="G826" s="14"/>
      <c r="I826" s="29"/>
    </row>
    <row r="827" spans="5:9" ht="18" customHeight="1">
      <c r="E827" s="14"/>
      <c r="G827" s="14"/>
      <c r="I827" s="29"/>
    </row>
    <row r="828" spans="5:9" ht="18" customHeight="1">
      <c r="E828" s="14"/>
      <c r="G828" s="14"/>
      <c r="I828" s="29"/>
    </row>
    <row r="829" spans="5:9" ht="18" customHeight="1">
      <c r="E829" s="14"/>
      <c r="G829" s="14"/>
      <c r="I829" s="29"/>
    </row>
    <row r="830" spans="5:9" ht="18" customHeight="1">
      <c r="E830" s="14"/>
      <c r="G830" s="14"/>
      <c r="I830" s="29"/>
    </row>
    <row r="831" spans="5:9" ht="18" customHeight="1">
      <c r="E831" s="14"/>
      <c r="G831" s="14"/>
      <c r="I831" s="29"/>
    </row>
    <row r="832" spans="5:9" ht="18" customHeight="1">
      <c r="E832" s="14"/>
      <c r="G832" s="14"/>
      <c r="I832" s="29"/>
    </row>
    <row r="833" spans="5:9" ht="18" customHeight="1">
      <c r="E833" s="14"/>
      <c r="G833" s="14"/>
      <c r="I833" s="29"/>
    </row>
    <row r="834" spans="5:9" ht="18" customHeight="1">
      <c r="E834" s="14"/>
      <c r="G834" s="14"/>
      <c r="I834" s="29"/>
    </row>
    <row r="835" spans="5:9" ht="18" customHeight="1">
      <c r="E835" s="14"/>
      <c r="G835" s="14"/>
      <c r="I835" s="29"/>
    </row>
    <row r="836" spans="5:9" ht="18" customHeight="1">
      <c r="E836" s="14"/>
      <c r="G836" s="14"/>
      <c r="I836" s="29"/>
    </row>
    <row r="837" spans="5:9" ht="18" customHeight="1">
      <c r="E837" s="14"/>
      <c r="G837" s="14"/>
      <c r="I837" s="29"/>
    </row>
    <row r="838" spans="5:9" ht="18" customHeight="1">
      <c r="E838" s="14"/>
      <c r="G838" s="14"/>
      <c r="I838" s="29"/>
    </row>
    <row r="839" spans="5:9" ht="18" customHeight="1">
      <c r="E839" s="14"/>
      <c r="G839" s="14"/>
      <c r="I839" s="29"/>
    </row>
    <row r="840" spans="5:9" ht="18" customHeight="1">
      <c r="E840" s="14"/>
      <c r="G840" s="14"/>
      <c r="I840" s="29"/>
    </row>
    <row r="841" spans="5:9" ht="18" customHeight="1">
      <c r="E841" s="14"/>
      <c r="G841" s="14"/>
      <c r="I841" s="29"/>
    </row>
    <row r="842" spans="5:9" ht="18" customHeight="1">
      <c r="E842" s="14"/>
      <c r="G842" s="14"/>
      <c r="I842" s="29"/>
    </row>
    <row r="843" spans="5:9" ht="18" customHeight="1">
      <c r="E843" s="14"/>
      <c r="G843" s="14"/>
      <c r="I843" s="29"/>
    </row>
    <row r="844" spans="5:9" ht="18" customHeight="1">
      <c r="E844" s="14"/>
      <c r="G844" s="14"/>
      <c r="I844" s="29"/>
    </row>
    <row r="845" spans="5:9" ht="18" customHeight="1">
      <c r="E845" s="14"/>
      <c r="G845" s="14"/>
      <c r="I845" s="29"/>
    </row>
    <row r="846" spans="5:9" ht="18" customHeight="1">
      <c r="E846" s="14"/>
      <c r="G846" s="14"/>
      <c r="I846" s="29"/>
    </row>
    <row r="847" spans="5:9" ht="18" customHeight="1">
      <c r="E847" s="14"/>
      <c r="G847" s="14"/>
      <c r="I847" s="29"/>
    </row>
    <row r="848" spans="5:9" ht="18" customHeight="1">
      <c r="E848" s="14"/>
      <c r="G848" s="14"/>
      <c r="I848" s="29"/>
    </row>
    <row r="849" spans="5:9" ht="18" customHeight="1">
      <c r="E849" s="14"/>
      <c r="G849" s="14"/>
      <c r="I849" s="29"/>
    </row>
    <row r="850" spans="5:9" ht="18" customHeight="1">
      <c r="E850" s="14"/>
      <c r="G850" s="14"/>
      <c r="I850" s="29"/>
    </row>
    <row r="851" spans="5:9" ht="18" customHeight="1">
      <c r="E851" s="14"/>
      <c r="G851" s="14"/>
      <c r="I851" s="29"/>
    </row>
    <row r="852" spans="5:9" ht="18" customHeight="1">
      <c r="E852" s="14"/>
      <c r="G852" s="14"/>
      <c r="I852" s="29"/>
    </row>
    <row r="853" spans="5:9" ht="18" customHeight="1">
      <c r="E853" s="14"/>
      <c r="G853" s="14"/>
      <c r="I853" s="29"/>
    </row>
    <row r="854" spans="5:9" ht="18" customHeight="1">
      <c r="E854" s="14"/>
      <c r="G854" s="14"/>
      <c r="I854" s="29"/>
    </row>
    <row r="855" spans="5:9" ht="18" customHeight="1">
      <c r="E855" s="14"/>
      <c r="G855" s="14"/>
      <c r="I855" s="29"/>
    </row>
    <row r="856" spans="5:9" ht="18" customHeight="1">
      <c r="E856" s="14"/>
      <c r="G856" s="14"/>
      <c r="I856" s="29"/>
    </row>
    <row r="857" spans="5:9" ht="18" customHeight="1">
      <c r="E857" s="14"/>
      <c r="G857" s="14"/>
      <c r="I857" s="29"/>
    </row>
    <row r="858" spans="5:9" ht="18" customHeight="1">
      <c r="E858" s="14"/>
      <c r="G858" s="14"/>
      <c r="I858" s="29"/>
    </row>
    <row r="859" spans="5:9" ht="18" customHeight="1">
      <c r="E859" s="14"/>
      <c r="G859" s="14"/>
      <c r="I859" s="29"/>
    </row>
    <row r="860" spans="5:9" ht="18" customHeight="1">
      <c r="E860" s="14"/>
      <c r="G860" s="14"/>
      <c r="I860" s="29"/>
    </row>
    <row r="861" spans="5:9" ht="18" customHeight="1">
      <c r="E861" s="14"/>
      <c r="G861" s="14"/>
      <c r="I861" s="29"/>
    </row>
    <row r="862" spans="5:9" ht="18" customHeight="1">
      <c r="E862" s="14"/>
      <c r="G862" s="14"/>
      <c r="I862" s="29"/>
    </row>
    <row r="863" spans="5:9" ht="18" customHeight="1">
      <c r="E863" s="14"/>
      <c r="G863" s="14"/>
      <c r="I863" s="29"/>
    </row>
    <row r="864" spans="5:9" ht="18" customHeight="1">
      <c r="E864" s="14"/>
      <c r="G864" s="14"/>
      <c r="I864" s="29"/>
    </row>
    <row r="865" spans="5:9" ht="18" customHeight="1">
      <c r="E865" s="14"/>
      <c r="G865" s="14"/>
      <c r="I865" s="29"/>
    </row>
    <row r="866" spans="5:9" ht="18" customHeight="1">
      <c r="E866" s="14"/>
      <c r="G866" s="14"/>
      <c r="I866" s="29"/>
    </row>
    <row r="867" spans="5:9" ht="18" customHeight="1">
      <c r="E867" s="14"/>
      <c r="G867" s="14"/>
      <c r="I867" s="29"/>
    </row>
    <row r="868" spans="5:9" ht="18" customHeight="1">
      <c r="E868" s="14"/>
      <c r="G868" s="14"/>
      <c r="I868" s="29"/>
    </row>
    <row r="869" spans="5:9" ht="18" customHeight="1">
      <c r="E869" s="14"/>
      <c r="G869" s="14"/>
      <c r="I869" s="29"/>
    </row>
    <row r="870" spans="5:9" ht="18" customHeight="1">
      <c r="E870" s="14"/>
      <c r="G870" s="14"/>
      <c r="I870" s="29"/>
    </row>
    <row r="871" spans="5:9" ht="18" customHeight="1">
      <c r="E871" s="14"/>
      <c r="G871" s="14"/>
      <c r="I871" s="29"/>
    </row>
    <row r="872" spans="5:9" ht="18" customHeight="1">
      <c r="E872" s="14"/>
      <c r="G872" s="14"/>
      <c r="I872" s="29"/>
    </row>
    <row r="873" spans="5:9" ht="18" customHeight="1">
      <c r="E873" s="14"/>
      <c r="G873" s="14"/>
      <c r="I873" s="29"/>
    </row>
    <row r="874" spans="5:9" ht="18" customHeight="1">
      <c r="E874" s="14"/>
      <c r="G874" s="14"/>
      <c r="I874" s="29"/>
    </row>
    <row r="875" spans="5:9" ht="18" customHeight="1">
      <c r="E875" s="14"/>
      <c r="G875" s="14"/>
      <c r="I875" s="29"/>
    </row>
    <row r="876" spans="5:9" ht="18" customHeight="1">
      <c r="E876" s="14"/>
      <c r="G876" s="14"/>
      <c r="I876" s="29"/>
    </row>
    <row r="877" spans="5:9" ht="18" customHeight="1">
      <c r="E877" s="14"/>
      <c r="G877" s="14"/>
      <c r="I877" s="29"/>
    </row>
    <row r="878" spans="5:9" ht="18" customHeight="1">
      <c r="E878" s="14"/>
      <c r="G878" s="14"/>
      <c r="I878" s="29"/>
    </row>
    <row r="879" spans="5:9" ht="18" customHeight="1">
      <c r="E879" s="14"/>
      <c r="G879" s="14"/>
      <c r="I879" s="29"/>
    </row>
    <row r="880" spans="5:9" ht="18" customHeight="1">
      <c r="E880" s="14"/>
      <c r="G880" s="14"/>
      <c r="I880" s="29"/>
    </row>
    <row r="881" spans="5:9" ht="18" customHeight="1">
      <c r="E881" s="14"/>
      <c r="G881" s="14"/>
      <c r="I881" s="29"/>
    </row>
    <row r="882" spans="5:9" ht="18" customHeight="1">
      <c r="E882" s="14"/>
      <c r="G882" s="14"/>
      <c r="I882" s="29"/>
    </row>
    <row r="883" spans="5:9" ht="18" customHeight="1">
      <c r="E883" s="14"/>
      <c r="G883" s="14"/>
      <c r="I883" s="29"/>
    </row>
    <row r="884" spans="5:9" ht="18" customHeight="1">
      <c r="E884" s="14"/>
      <c r="G884" s="14"/>
      <c r="I884" s="29"/>
    </row>
    <row r="885" spans="5:9" ht="18" customHeight="1">
      <c r="E885" s="14"/>
      <c r="G885" s="14"/>
      <c r="I885" s="29"/>
    </row>
    <row r="886" spans="5:9" ht="18" customHeight="1">
      <c r="E886" s="14"/>
      <c r="G886" s="14"/>
      <c r="I886" s="29"/>
    </row>
    <row r="887" spans="5:9" ht="18" customHeight="1">
      <c r="E887" s="14"/>
      <c r="G887" s="14"/>
      <c r="I887" s="29"/>
    </row>
    <row r="888" spans="5:9" ht="18" customHeight="1">
      <c r="E888" s="14"/>
      <c r="G888" s="14"/>
      <c r="I888" s="29"/>
    </row>
    <row r="889" spans="5:9" ht="18" customHeight="1">
      <c r="E889" s="14"/>
      <c r="G889" s="14"/>
      <c r="I889" s="29"/>
    </row>
    <row r="890" spans="5:9" ht="18" customHeight="1">
      <c r="E890" s="14"/>
      <c r="G890" s="14"/>
      <c r="I890" s="29"/>
    </row>
    <row r="891" spans="5:9" ht="18" customHeight="1">
      <c r="E891" s="14"/>
      <c r="G891" s="14"/>
      <c r="I891" s="29"/>
    </row>
    <row r="892" spans="5:9" ht="18" customHeight="1">
      <c r="E892" s="14"/>
      <c r="G892" s="14"/>
      <c r="I892" s="29"/>
    </row>
    <row r="893" spans="5:9" ht="18" customHeight="1">
      <c r="E893" s="14"/>
      <c r="G893" s="14"/>
      <c r="I893" s="29"/>
    </row>
    <row r="894" spans="5:9" ht="18" customHeight="1">
      <c r="E894" s="14"/>
      <c r="G894" s="14"/>
      <c r="I894" s="29"/>
    </row>
    <row r="895" spans="5:9" ht="18" customHeight="1">
      <c r="E895" s="14"/>
      <c r="G895" s="14"/>
      <c r="I895" s="29"/>
    </row>
    <row r="896" spans="5:9" ht="18" customHeight="1">
      <c r="E896" s="14"/>
      <c r="G896" s="14"/>
      <c r="I896" s="29"/>
    </row>
    <row r="897" spans="5:9" ht="18" customHeight="1">
      <c r="E897" s="14"/>
      <c r="G897" s="14"/>
      <c r="I897" s="29"/>
    </row>
    <row r="898" spans="5:9" ht="18" customHeight="1">
      <c r="E898" s="14"/>
      <c r="G898" s="14"/>
      <c r="I898" s="29"/>
    </row>
    <row r="899" spans="5:9" ht="18" customHeight="1">
      <c r="E899" s="14"/>
      <c r="G899" s="14"/>
      <c r="I899" s="29"/>
    </row>
    <row r="900" spans="5:9" ht="18" customHeight="1">
      <c r="E900" s="14"/>
      <c r="G900" s="14"/>
      <c r="I900" s="29"/>
    </row>
    <row r="901" spans="5:9" ht="18" customHeight="1">
      <c r="E901" s="14"/>
      <c r="G901" s="14"/>
      <c r="I901" s="29"/>
    </row>
    <row r="902" spans="5:9" ht="18" customHeight="1">
      <c r="E902" s="14"/>
      <c r="G902" s="14"/>
      <c r="I902" s="29"/>
    </row>
    <row r="903" spans="5:9" ht="18" customHeight="1">
      <c r="E903" s="14"/>
      <c r="G903" s="14"/>
      <c r="I903" s="29"/>
    </row>
    <row r="904" spans="5:9" ht="18" customHeight="1">
      <c r="E904" s="14"/>
      <c r="G904" s="14"/>
      <c r="I904" s="29"/>
    </row>
    <row r="905" spans="5:9" ht="18" customHeight="1">
      <c r="E905" s="14"/>
      <c r="G905" s="14"/>
      <c r="I905" s="29"/>
    </row>
    <row r="906" spans="5:9" ht="18" customHeight="1">
      <c r="E906" s="14"/>
      <c r="G906" s="14"/>
      <c r="I906" s="29"/>
    </row>
    <row r="907" spans="5:9" ht="18" customHeight="1">
      <c r="E907" s="14"/>
      <c r="G907" s="14"/>
      <c r="I907" s="29"/>
    </row>
    <row r="908" spans="5:9" ht="18" customHeight="1">
      <c r="E908" s="14"/>
      <c r="G908" s="14"/>
      <c r="I908" s="29"/>
    </row>
    <row r="909" spans="5:9" ht="18" customHeight="1">
      <c r="E909" s="14"/>
      <c r="G909" s="14"/>
      <c r="I909" s="29"/>
    </row>
    <row r="910" spans="5:9" ht="18" customHeight="1">
      <c r="E910" s="14"/>
      <c r="G910" s="14"/>
      <c r="I910" s="29"/>
    </row>
    <row r="911" spans="5:9" ht="18" customHeight="1">
      <c r="E911" s="14"/>
      <c r="G911" s="14"/>
      <c r="I911" s="29"/>
    </row>
    <row r="912" spans="5:9" ht="18" customHeight="1">
      <c r="E912" s="14"/>
      <c r="G912" s="14"/>
      <c r="I912" s="29"/>
    </row>
    <row r="913" spans="5:9" ht="18" customHeight="1">
      <c r="E913" s="14"/>
      <c r="G913" s="14"/>
      <c r="I913" s="29"/>
    </row>
    <row r="914" spans="5:9" ht="18" customHeight="1">
      <c r="E914" s="14"/>
      <c r="G914" s="14"/>
      <c r="I914" s="29"/>
    </row>
    <row r="915" spans="5:9" ht="18" customHeight="1">
      <c r="E915" s="14"/>
      <c r="G915" s="14"/>
      <c r="I915" s="29"/>
    </row>
    <row r="916" spans="5:9" ht="18" customHeight="1">
      <c r="E916" s="14"/>
      <c r="G916" s="14"/>
      <c r="I916" s="29"/>
    </row>
    <row r="917" spans="5:9" ht="18" customHeight="1">
      <c r="E917" s="14"/>
      <c r="G917" s="14"/>
      <c r="I917" s="29"/>
    </row>
    <row r="918" spans="5:9" ht="18" customHeight="1">
      <c r="E918" s="14"/>
      <c r="G918" s="14"/>
      <c r="I918" s="29"/>
    </row>
    <row r="919" spans="5:9" ht="18" customHeight="1">
      <c r="E919" s="14"/>
      <c r="G919" s="14"/>
      <c r="I919" s="29"/>
    </row>
    <row r="920" spans="5:9" ht="18" customHeight="1">
      <c r="E920" s="14"/>
      <c r="G920" s="14"/>
      <c r="I920" s="29"/>
    </row>
    <row r="921" spans="5:9" ht="18" customHeight="1">
      <c r="E921" s="14"/>
      <c r="G921" s="14"/>
      <c r="I921" s="29"/>
    </row>
    <row r="922" spans="5:9" ht="18" customHeight="1">
      <c r="E922" s="14"/>
      <c r="G922" s="14"/>
      <c r="I922" s="29"/>
    </row>
    <row r="923" spans="5:9" ht="18" customHeight="1">
      <c r="E923" s="14"/>
      <c r="G923" s="14"/>
      <c r="I923" s="29"/>
    </row>
    <row r="924" spans="5:9" ht="18" customHeight="1">
      <c r="E924" s="14"/>
      <c r="G924" s="14"/>
      <c r="I924" s="29"/>
    </row>
    <row r="925" spans="5:9" ht="18" customHeight="1">
      <c r="E925" s="14"/>
      <c r="G925" s="14"/>
      <c r="I925" s="29"/>
    </row>
    <row r="926" spans="5:9" ht="18" customHeight="1">
      <c r="E926" s="14"/>
      <c r="G926" s="14"/>
      <c r="I926" s="29"/>
    </row>
    <row r="927" spans="5:9" ht="18" customHeight="1">
      <c r="E927" s="14"/>
      <c r="G927" s="14"/>
      <c r="I927" s="29"/>
    </row>
    <row r="928" spans="5:9" ht="18" customHeight="1">
      <c r="E928" s="14"/>
      <c r="G928" s="14"/>
      <c r="I928" s="29"/>
    </row>
    <row r="929" spans="5:9" ht="18" customHeight="1">
      <c r="E929" s="14"/>
      <c r="G929" s="14"/>
      <c r="I929" s="29"/>
    </row>
    <row r="930" spans="5:9" ht="18" customHeight="1">
      <c r="E930" s="14"/>
      <c r="G930" s="14"/>
      <c r="I930" s="29"/>
    </row>
    <row r="931" spans="5:9" ht="18" customHeight="1">
      <c r="E931" s="14"/>
      <c r="G931" s="14"/>
      <c r="I931" s="29"/>
    </row>
    <row r="932" spans="5:9" ht="18" customHeight="1">
      <c r="E932" s="14"/>
      <c r="G932" s="14"/>
      <c r="I932" s="29"/>
    </row>
    <row r="933" spans="5:9" ht="18" customHeight="1">
      <c r="E933" s="14"/>
      <c r="G933" s="14"/>
      <c r="I933" s="29"/>
    </row>
    <row r="934" spans="5:9" ht="18" customHeight="1">
      <c r="E934" s="14"/>
      <c r="G934" s="14"/>
      <c r="I934" s="29"/>
    </row>
    <row r="935" spans="5:9" ht="18" customHeight="1">
      <c r="E935" s="14"/>
      <c r="G935" s="14"/>
      <c r="I935" s="29"/>
    </row>
    <row r="936" spans="5:9" ht="18" customHeight="1">
      <c r="E936" s="14"/>
      <c r="G936" s="14"/>
      <c r="I936" s="29"/>
    </row>
    <row r="937" spans="5:9" ht="18" customHeight="1">
      <c r="E937" s="14"/>
      <c r="G937" s="14"/>
      <c r="I937" s="29"/>
    </row>
    <row r="938" spans="5:9" ht="18" customHeight="1">
      <c r="E938" s="14"/>
      <c r="G938" s="14"/>
      <c r="I938" s="29"/>
    </row>
    <row r="939" spans="5:9" ht="18" customHeight="1">
      <c r="E939" s="14"/>
      <c r="G939" s="14"/>
      <c r="I939" s="29"/>
    </row>
    <row r="940" spans="5:9" ht="18" customHeight="1">
      <c r="E940" s="14"/>
      <c r="G940" s="14"/>
      <c r="I940" s="29"/>
    </row>
    <row r="941" spans="5:9" ht="18" customHeight="1">
      <c r="E941" s="14"/>
      <c r="G941" s="14"/>
      <c r="I941" s="29"/>
    </row>
    <row r="942" spans="5:9" ht="18" customHeight="1">
      <c r="E942" s="14"/>
      <c r="G942" s="14"/>
      <c r="I942" s="29"/>
    </row>
    <row r="943" spans="5:9" ht="18" customHeight="1">
      <c r="E943" s="14"/>
      <c r="G943" s="14"/>
      <c r="I943" s="29"/>
    </row>
    <row r="944" spans="5:9" ht="18" customHeight="1">
      <c r="E944" s="14"/>
      <c r="G944" s="14"/>
      <c r="I944" s="29"/>
    </row>
    <row r="945" spans="5:9" ht="18" customHeight="1">
      <c r="E945" s="14"/>
      <c r="G945" s="14"/>
      <c r="I945" s="29"/>
    </row>
    <row r="946" spans="5:9" ht="18" customHeight="1">
      <c r="E946" s="14"/>
      <c r="G946" s="14"/>
      <c r="I946" s="29"/>
    </row>
    <row r="947" spans="5:9" ht="18" customHeight="1">
      <c r="E947" s="14"/>
      <c r="G947" s="14"/>
      <c r="I947" s="29"/>
    </row>
    <row r="948" spans="5:9" ht="18" customHeight="1">
      <c r="E948" s="14"/>
      <c r="G948" s="14"/>
      <c r="I948" s="29"/>
    </row>
    <row r="949" spans="5:9" ht="18" customHeight="1">
      <c r="E949" s="14"/>
      <c r="G949" s="14"/>
      <c r="I949" s="29"/>
    </row>
    <row r="950" spans="5:9" ht="18" customHeight="1">
      <c r="E950" s="14"/>
      <c r="G950" s="14"/>
      <c r="I950" s="29"/>
    </row>
    <row r="951" spans="5:9" ht="18" customHeight="1">
      <c r="E951" s="14"/>
      <c r="G951" s="14"/>
      <c r="I951" s="29"/>
    </row>
    <row r="952" spans="5:9" ht="18" customHeight="1">
      <c r="E952" s="14"/>
      <c r="G952" s="14"/>
      <c r="I952" s="29"/>
    </row>
    <row r="953" spans="5:9" ht="18" customHeight="1">
      <c r="E953" s="14"/>
      <c r="G953" s="14"/>
      <c r="I953" s="29"/>
    </row>
    <row r="954" spans="5:9" ht="18" customHeight="1">
      <c r="E954" s="14"/>
      <c r="G954" s="14"/>
      <c r="I954" s="29"/>
    </row>
    <row r="955" spans="5:9" ht="18" customHeight="1">
      <c r="E955" s="14"/>
      <c r="G955" s="14"/>
      <c r="I955" s="29"/>
    </row>
    <row r="956" spans="5:9" ht="18" customHeight="1">
      <c r="E956" s="14"/>
      <c r="G956" s="14"/>
      <c r="I956" s="29"/>
    </row>
    <row r="957" spans="5:9" ht="18" customHeight="1">
      <c r="E957" s="14"/>
      <c r="G957" s="14"/>
      <c r="I957" s="29"/>
    </row>
    <row r="958" spans="5:9" ht="18" customHeight="1">
      <c r="E958" s="14"/>
      <c r="G958" s="14"/>
      <c r="I958" s="29"/>
    </row>
    <row r="959" spans="5:9" ht="18" customHeight="1">
      <c r="E959" s="14"/>
      <c r="G959" s="14"/>
      <c r="I959" s="29"/>
    </row>
    <row r="960" spans="5:9" ht="18" customHeight="1">
      <c r="E960" s="14"/>
      <c r="G960" s="14"/>
      <c r="I960" s="29"/>
    </row>
    <row r="961" spans="5:9" ht="18" customHeight="1">
      <c r="E961" s="14"/>
      <c r="G961" s="14"/>
      <c r="I961" s="29"/>
    </row>
    <row r="962" spans="5:9" ht="18" customHeight="1">
      <c r="E962" s="14"/>
      <c r="G962" s="14"/>
      <c r="I962" s="29"/>
    </row>
    <row r="963" spans="5:9" ht="18" customHeight="1">
      <c r="E963" s="14"/>
      <c r="G963" s="14"/>
      <c r="I963" s="29"/>
    </row>
    <row r="964" spans="5:9" ht="18" customHeight="1">
      <c r="E964" s="14"/>
      <c r="G964" s="14"/>
      <c r="I964" s="29"/>
    </row>
    <row r="965" spans="5:9" ht="18" customHeight="1">
      <c r="E965" s="14"/>
      <c r="G965" s="14"/>
      <c r="I965" s="29"/>
    </row>
    <row r="966" spans="5:9" ht="18" customHeight="1">
      <c r="E966" s="14"/>
      <c r="G966" s="14"/>
      <c r="I966" s="29"/>
    </row>
    <row r="967" spans="5:9" ht="18" customHeight="1">
      <c r="E967" s="14"/>
      <c r="G967" s="14"/>
      <c r="I967" s="29"/>
    </row>
    <row r="968" spans="5:9" ht="18" customHeight="1">
      <c r="E968" s="14"/>
      <c r="G968" s="14"/>
      <c r="I968" s="29"/>
    </row>
    <row r="969" spans="5:9" ht="18" customHeight="1">
      <c r="E969" s="14"/>
      <c r="G969" s="14"/>
      <c r="I969" s="29"/>
    </row>
    <row r="970" spans="5:9" ht="18" customHeight="1">
      <c r="E970" s="14"/>
      <c r="G970" s="14"/>
      <c r="I970" s="29"/>
    </row>
    <row r="971" spans="5:9" ht="18" customHeight="1">
      <c r="E971" s="14"/>
      <c r="G971" s="14"/>
      <c r="I971" s="29"/>
    </row>
    <row r="972" spans="5:9" ht="18" customHeight="1">
      <c r="E972" s="14"/>
      <c r="G972" s="14"/>
      <c r="I972" s="29"/>
    </row>
    <row r="973" spans="5:9" ht="18" customHeight="1">
      <c r="E973" s="14"/>
      <c r="G973" s="14"/>
      <c r="I973" s="29"/>
    </row>
    <row r="974" spans="5:9" ht="18" customHeight="1">
      <c r="E974" s="14"/>
      <c r="G974" s="14"/>
      <c r="I974" s="29"/>
    </row>
    <row r="975" spans="5:9" ht="18" customHeight="1">
      <c r="E975" s="14"/>
      <c r="G975" s="14"/>
      <c r="I975" s="29"/>
    </row>
    <row r="976" spans="5:9" ht="18" customHeight="1">
      <c r="E976" s="14"/>
      <c r="G976" s="14"/>
      <c r="I976" s="29"/>
    </row>
    <row r="977" spans="5:9" ht="18" customHeight="1">
      <c r="E977" s="14"/>
      <c r="G977" s="14"/>
      <c r="I977" s="29"/>
    </row>
    <row r="978" spans="5:9" ht="18" customHeight="1">
      <c r="E978" s="14"/>
      <c r="G978" s="14"/>
      <c r="I978" s="29"/>
    </row>
    <row r="979" spans="5:9" ht="18" customHeight="1">
      <c r="E979" s="14"/>
      <c r="G979" s="14"/>
      <c r="I979" s="29"/>
    </row>
    <row r="980" spans="5:9" ht="18" customHeight="1">
      <c r="E980" s="14"/>
      <c r="G980" s="14"/>
      <c r="I980" s="29"/>
    </row>
    <row r="981" spans="5:9" ht="18" customHeight="1">
      <c r="E981" s="14"/>
      <c r="G981" s="14"/>
      <c r="I981" s="29"/>
    </row>
    <row r="982" spans="5:9" ht="18" customHeight="1">
      <c r="E982" s="14"/>
      <c r="G982" s="14"/>
      <c r="I982" s="29"/>
    </row>
    <row r="983" spans="5:9" ht="18" customHeight="1">
      <c r="E983" s="14"/>
      <c r="G983" s="14"/>
      <c r="I983" s="29"/>
    </row>
    <row r="984" spans="5:9" ht="18" customHeight="1">
      <c r="E984" s="14"/>
      <c r="G984" s="14"/>
      <c r="I984" s="29"/>
    </row>
    <row r="985" spans="5:9" ht="18" customHeight="1">
      <c r="E985" s="14"/>
      <c r="G985" s="14"/>
      <c r="I985" s="29"/>
    </row>
    <row r="986" spans="5:9" ht="18" customHeight="1">
      <c r="E986" s="14"/>
      <c r="G986" s="14"/>
      <c r="I986" s="29"/>
    </row>
    <row r="987" spans="5:9" ht="18" customHeight="1">
      <c r="E987" s="14"/>
      <c r="G987" s="14"/>
      <c r="I987" s="29"/>
    </row>
    <row r="988" spans="5:9" ht="18" customHeight="1">
      <c r="E988" s="14"/>
      <c r="G988" s="14"/>
      <c r="I988" s="29"/>
    </row>
    <row r="989" spans="5:9" ht="18" customHeight="1">
      <c r="E989" s="14"/>
      <c r="G989" s="14"/>
      <c r="I989" s="29"/>
    </row>
    <row r="990" spans="5:9" ht="18" customHeight="1">
      <c r="E990" s="14"/>
      <c r="G990" s="14"/>
      <c r="I990" s="29"/>
    </row>
    <row r="991" spans="5:9" ht="18" customHeight="1">
      <c r="E991" s="14"/>
      <c r="G991" s="14"/>
      <c r="I991" s="29"/>
    </row>
    <row r="992" spans="5:9" ht="18" customHeight="1">
      <c r="E992" s="14"/>
      <c r="G992" s="14"/>
      <c r="I992" s="29"/>
    </row>
    <row r="993" spans="5:9" ht="18" customHeight="1">
      <c r="E993" s="14"/>
      <c r="G993" s="14"/>
      <c r="I993" s="29"/>
    </row>
    <row r="994" spans="5:9" ht="18" customHeight="1">
      <c r="E994" s="14"/>
      <c r="G994" s="14"/>
      <c r="I994" s="29"/>
    </row>
    <row r="995" spans="5:9" ht="18" customHeight="1">
      <c r="E995" s="14"/>
      <c r="G995" s="14"/>
      <c r="I995" s="29"/>
    </row>
    <row r="996" spans="5:9" ht="18" customHeight="1">
      <c r="E996" s="14"/>
      <c r="G996" s="14"/>
      <c r="I996" s="29"/>
    </row>
    <row r="997" spans="5:9" ht="18" customHeight="1">
      <c r="E997" s="14"/>
      <c r="G997" s="14"/>
      <c r="I997" s="29"/>
    </row>
    <row r="998" spans="5:9" ht="18" customHeight="1">
      <c r="E998" s="14"/>
      <c r="G998" s="14"/>
      <c r="I998" s="29"/>
    </row>
    <row r="999" spans="5:9" ht="18" customHeight="1">
      <c r="E999" s="14"/>
      <c r="G999" s="14"/>
      <c r="I999" s="29"/>
    </row>
    <row r="1000" spans="5:9" ht="18" customHeight="1">
      <c r="E1000" s="14"/>
      <c r="G1000" s="14"/>
      <c r="I1000" s="29"/>
    </row>
  </sheetData>
  <phoneticPr fontId="3"/>
  <pageMargins left="0.25" right="0.25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300-000000000000}">
          <x14:formula1>
            <xm:f>入力規制!$A$2:$A$7</xm:f>
          </x14:formula1>
          <xm:sqref>B3:B52</xm:sqref>
        </x14:dataValidation>
        <x14:dataValidation type="list" allowBlank="1" showErrorMessage="1" xr:uid="{00000000-0002-0000-0300-000001000000}">
          <x14:formula1>
            <xm:f>入力規制!$A$17:$A$18</xm:f>
          </x14:formula1>
          <xm:sqref>J3:J52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A1000"/>
  <sheetViews>
    <sheetView workbookViewId="0"/>
  </sheetViews>
  <sheetFormatPr defaultColWidth="14.453125" defaultRowHeight="15" customHeight="1"/>
  <cols>
    <col min="1" max="1" width="12.26953125" customWidth="1"/>
    <col min="2" max="26" width="8.7265625" customWidth="1"/>
  </cols>
  <sheetData>
    <row r="1" spans="1:1" ht="18" customHeight="1">
      <c r="A1" s="13" t="s">
        <v>86</v>
      </c>
    </row>
    <row r="2" spans="1:1" ht="18" customHeight="1">
      <c r="A2" s="18" t="s">
        <v>16</v>
      </c>
    </row>
    <row r="3" spans="1:1" ht="18" customHeight="1">
      <c r="A3" s="18" t="s">
        <v>17</v>
      </c>
    </row>
    <row r="4" spans="1:1" ht="18" customHeight="1">
      <c r="A4" s="18" t="s">
        <v>18</v>
      </c>
    </row>
    <row r="5" spans="1:1" ht="18" customHeight="1">
      <c r="A5" s="18" t="s">
        <v>19</v>
      </c>
    </row>
    <row r="6" spans="1:1" ht="18" customHeight="1">
      <c r="A6" s="18" t="s">
        <v>20</v>
      </c>
    </row>
    <row r="7" spans="1:1" ht="18" customHeight="1">
      <c r="A7" s="33" t="s">
        <v>21</v>
      </c>
    </row>
    <row r="8" spans="1:1" ht="18" customHeight="1"/>
    <row r="9" spans="1:1" ht="18" customHeight="1">
      <c r="A9" s="13" t="s">
        <v>87</v>
      </c>
    </row>
    <row r="10" spans="1:1" ht="18" customHeight="1">
      <c r="A10" s="18" t="s">
        <v>8</v>
      </c>
    </row>
    <row r="11" spans="1:1" ht="18" customHeight="1">
      <c r="A11" s="18" t="s">
        <v>9</v>
      </c>
    </row>
    <row r="12" spans="1:1" ht="18" customHeight="1">
      <c r="A12" s="18" t="s">
        <v>10</v>
      </c>
    </row>
    <row r="13" spans="1:1" ht="18" customHeight="1">
      <c r="A13" s="18" t="s">
        <v>11</v>
      </c>
    </row>
    <row r="14" spans="1:1" ht="18" customHeight="1">
      <c r="A14" s="34" t="s">
        <v>12</v>
      </c>
    </row>
    <row r="15" spans="1:1" ht="18" customHeight="1"/>
    <row r="16" spans="1:1" ht="18" customHeight="1">
      <c r="A16" s="13" t="s">
        <v>83</v>
      </c>
    </row>
    <row r="17" spans="1:1" ht="18" customHeight="1">
      <c r="A17" s="18" t="s">
        <v>88</v>
      </c>
    </row>
    <row r="18" spans="1:1" ht="18" customHeight="1">
      <c r="A18" s="18" t="s">
        <v>89</v>
      </c>
    </row>
    <row r="19" spans="1:1" ht="18" customHeight="1"/>
    <row r="20" spans="1:1" ht="18" customHeight="1">
      <c r="A20" s="13" t="s">
        <v>90</v>
      </c>
    </row>
    <row r="21" spans="1:1" ht="18" customHeight="1">
      <c r="A21" s="18" t="s">
        <v>91</v>
      </c>
    </row>
    <row r="22" spans="1:1" ht="18" customHeight="1">
      <c r="A22" s="18" t="s">
        <v>92</v>
      </c>
    </row>
    <row r="23" spans="1:1" ht="18" customHeight="1"/>
    <row r="24" spans="1:1" ht="18" customHeight="1"/>
    <row r="25" spans="1:1" ht="18" customHeight="1"/>
    <row r="26" spans="1:1" ht="18" customHeight="1"/>
    <row r="27" spans="1:1" ht="18" customHeight="1"/>
    <row r="28" spans="1:1" ht="18" customHeight="1"/>
    <row r="29" spans="1:1" ht="18" customHeight="1"/>
    <row r="30" spans="1:1" ht="18" customHeight="1"/>
    <row r="31" spans="1:1" ht="18" customHeight="1"/>
    <row r="32" spans="1:1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honeticPr fontId="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予実管理</vt:lpstr>
      <vt:lpstr>予算</vt:lpstr>
      <vt:lpstr>実績｜売上一覧</vt:lpstr>
      <vt:lpstr>実績｜経費一覧</vt:lpstr>
      <vt:lpstr>入力規制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広陵町奈良県</dc:creator>
  <cp:lastModifiedBy>奈良県 広陵町</cp:lastModifiedBy>
  <dcterms:created xsi:type="dcterms:W3CDTF">2015-06-05T18:19:34Z</dcterms:created>
  <dcterms:modified xsi:type="dcterms:W3CDTF">2024-05-12T09:18:49Z</dcterms:modified>
</cp:coreProperties>
</file>